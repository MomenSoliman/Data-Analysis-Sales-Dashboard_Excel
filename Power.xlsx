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ata Analysis\My Projects\Sales Dashboard\"/>
    </mc:Choice>
  </mc:AlternateContent>
  <xr:revisionPtr revIDLastSave="0" documentId="13_ncr:1_{FAFF8DCC-5AC5-49C5-BE49-C878D8CDCB36}" xr6:coauthVersionLast="47" xr6:coauthVersionMax="47" xr10:uidLastSave="{00000000-0000-0000-0000-000000000000}"/>
  <bookViews>
    <workbookView xWindow="-120" yWindow="-120" windowWidth="38640" windowHeight="21240" activeTab="2" xr2:uid="{00000000-000D-0000-FFFF-FFFF00000000}"/>
  </bookViews>
  <sheets>
    <sheet name="Sales" sheetId="2" r:id="rId1"/>
    <sheet name="Tables" sheetId="4" r:id="rId2"/>
    <sheet name="WireFrames(Sales)" sheetId="5" r:id="rId3"/>
  </sheets>
  <definedNames>
    <definedName name="_xlchart.v5.0" hidden="1">Tables!$AA$13:$AA$14</definedName>
    <definedName name="_xlchart.v5.1" hidden="1">Tables!$AA$14</definedName>
    <definedName name="_xlchart.v5.10" hidden="1">Tables!$V$15:$V$21</definedName>
    <definedName name="_xlchart.v5.11" hidden="1">Tables!$W$13:$W$14</definedName>
    <definedName name="_xlchart.v5.12" hidden="1">Tables!$W$14</definedName>
    <definedName name="_xlchart.v5.13" hidden="1">Tables!$W$15:$W$21</definedName>
    <definedName name="_xlchart.v5.14" hidden="1">Tables!$X$13:$X$14</definedName>
    <definedName name="_xlchart.v5.15" hidden="1">Tables!$X$14</definedName>
    <definedName name="_xlchart.v5.16" hidden="1">Tables!$X$15:$X$21</definedName>
    <definedName name="_xlchart.v5.17" hidden="1">Tables!$Y$13:$Y$14</definedName>
    <definedName name="_xlchart.v5.18" hidden="1">Tables!$Y$14</definedName>
    <definedName name="_xlchart.v5.19" hidden="1">Tables!$Y$15:$Y$21</definedName>
    <definedName name="_xlchart.v5.2" hidden="1">Tables!$AA$15:$AA$21</definedName>
    <definedName name="_xlchart.v5.20" hidden="1">Tables!$Z$13:$Z$14</definedName>
    <definedName name="_xlchart.v5.21" hidden="1">Tables!$Z$14</definedName>
    <definedName name="_xlchart.v5.22" hidden="1">Tables!$Z$15:$Z$21</definedName>
    <definedName name="_xlchart.v5.23" hidden="1">Tables!$AA$13:$AA$14</definedName>
    <definedName name="_xlchart.v5.24" hidden="1">Tables!$AA$14</definedName>
    <definedName name="_xlchart.v5.25" hidden="1">Tables!$AA$15:$AA$21</definedName>
    <definedName name="_xlchart.v5.26" hidden="1">Tables!$T$13</definedName>
    <definedName name="_xlchart.v5.27" hidden="1">Tables!$T$14</definedName>
    <definedName name="_xlchart.v5.28" hidden="1">Tables!$T$14:$T$20</definedName>
    <definedName name="_xlchart.v5.29" hidden="1">Tables!$T$15:$T$21</definedName>
    <definedName name="_xlchart.v5.3" hidden="1">Tables!$T$14</definedName>
    <definedName name="_xlchart.v5.30" hidden="1">Tables!$U$12</definedName>
    <definedName name="_xlchart.v5.31" hidden="1">Tables!$U$13</definedName>
    <definedName name="_xlchart.v5.32" hidden="1">Tables!$U$13:$U$14</definedName>
    <definedName name="_xlchart.v5.33" hidden="1">Tables!$U$14</definedName>
    <definedName name="_xlchart.v5.34" hidden="1">Tables!$U$14:$U$20</definedName>
    <definedName name="_xlchart.v5.35" hidden="1">Tables!$U$15:$U$21</definedName>
    <definedName name="_xlchart.v5.36" hidden="1">Tables!$V$13:$V$14</definedName>
    <definedName name="_xlchart.v5.37" hidden="1">Tables!$V$14</definedName>
    <definedName name="_xlchart.v5.38" hidden="1">Tables!$V$15:$V$21</definedName>
    <definedName name="_xlchart.v5.39" hidden="1">Tables!$W$13:$W$14</definedName>
    <definedName name="_xlchart.v5.4" hidden="1">Tables!$T$15:$T$21</definedName>
    <definedName name="_xlchart.v5.40" hidden="1">Tables!$W$14</definedName>
    <definedName name="_xlchart.v5.41" hidden="1">Tables!$W$15:$W$21</definedName>
    <definedName name="_xlchart.v5.42" hidden="1">Tables!$X$13:$X$14</definedName>
    <definedName name="_xlchart.v5.43" hidden="1">Tables!$X$14</definedName>
    <definedName name="_xlchart.v5.44" hidden="1">Tables!$X$15:$X$21</definedName>
    <definedName name="_xlchart.v5.45" hidden="1">Tables!$Y$13:$Y$14</definedName>
    <definedName name="_xlchart.v5.46" hidden="1">Tables!$Y$14</definedName>
    <definedName name="_xlchart.v5.47" hidden="1">Tables!$Y$15:$Y$21</definedName>
    <definedName name="_xlchart.v5.48" hidden="1">Tables!$Z$13:$Z$14</definedName>
    <definedName name="_xlchart.v5.49" hidden="1">Tables!$Z$14</definedName>
    <definedName name="_xlchart.v5.5" hidden="1">Tables!$U$13:$U$14</definedName>
    <definedName name="_xlchart.v5.50" hidden="1">Tables!$Z$15:$Z$21</definedName>
    <definedName name="_xlchart.v5.51" hidden="1">Tables!$AA$13:$AA$14</definedName>
    <definedName name="_xlchart.v5.52" hidden="1">Tables!$AA$14</definedName>
    <definedName name="_xlchart.v5.53" hidden="1">Tables!$AA$15:$AA$21</definedName>
    <definedName name="_xlchart.v5.54" hidden="1">Tables!$T$14</definedName>
    <definedName name="_xlchart.v5.55" hidden="1">Tables!$T$15:$T$21</definedName>
    <definedName name="_xlchart.v5.56" hidden="1">Tables!$U$13:$U$14</definedName>
    <definedName name="_xlchart.v5.57" hidden="1">Tables!$U$14</definedName>
    <definedName name="_xlchart.v5.58" hidden="1">Tables!$U$15:$U$21</definedName>
    <definedName name="_xlchart.v5.59" hidden="1">Tables!$V$13:$V$14</definedName>
    <definedName name="_xlchart.v5.6" hidden="1">Tables!$U$14</definedName>
    <definedName name="_xlchart.v5.60" hidden="1">Tables!$V$14</definedName>
    <definedName name="_xlchart.v5.61" hidden="1">Tables!$V$15:$V$21</definedName>
    <definedName name="_xlchart.v5.62" hidden="1">Tables!$W$13:$W$14</definedName>
    <definedName name="_xlchart.v5.63" hidden="1">Tables!$W$14</definedName>
    <definedName name="_xlchart.v5.64" hidden="1">Tables!$W$15:$W$21</definedName>
    <definedName name="_xlchart.v5.65" hidden="1">Tables!$X$13:$X$14</definedName>
    <definedName name="_xlchart.v5.66" hidden="1">Tables!$X$14</definedName>
    <definedName name="_xlchart.v5.67" hidden="1">Tables!$X$15:$X$21</definedName>
    <definedName name="_xlchart.v5.68" hidden="1">Tables!$Y$13:$Y$14</definedName>
    <definedName name="_xlchart.v5.69" hidden="1">Tables!$Y$14</definedName>
    <definedName name="_xlchart.v5.7" hidden="1">Tables!$U$15:$U$21</definedName>
    <definedName name="_xlchart.v5.70" hidden="1">Tables!$Y$15:$Y$21</definedName>
    <definedName name="_xlchart.v5.71" hidden="1">Tables!$Z$13:$Z$14</definedName>
    <definedName name="_xlchart.v5.72" hidden="1">Tables!$Z$14</definedName>
    <definedName name="_xlchart.v5.73" hidden="1">Tables!$Z$15:$Z$21</definedName>
    <definedName name="_xlchart.v5.8" hidden="1">Tables!$V$13:$V$14</definedName>
    <definedName name="_xlchart.v5.9" hidden="1">Tables!$V$14</definedName>
    <definedName name="_xlcn.WorksheetConnection_Power.xlsxSales_Dataset1" hidden="1">Sales[]</definedName>
    <definedName name="ExternalData_1" localSheetId="0" hidden="1">Sales!$A$1:$N$1195</definedName>
    <definedName name="Slicer_Category">#N/A</definedName>
    <definedName name="Slicer_Date_Hierarchy">#N/A</definedName>
    <definedName name="Slicer_PaymentMode">#N/A</definedName>
    <definedName name="Slicer_State">#N/A</definedName>
    <definedName name="Total_Sales">"TextBox 32"</definedName>
    <definedName name="TotalSales">Tables!$B$5</definedName>
  </definedNames>
  <calcPr calcId="191029"/>
  <pivotCaches>
    <pivotCache cacheId="1553" r:id="rId4"/>
    <pivotCache cacheId="1556" r:id="rId5"/>
    <pivotCache cacheId="1559" r:id="rId6"/>
    <pivotCache cacheId="1562" r:id="rId7"/>
    <pivotCache cacheId="1565" r:id="rId8"/>
    <pivotCache cacheId="1568" r:id="rId9"/>
    <pivotCache cacheId="1571"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set" name="Sales_Dataset" connection="WorksheetConnection_Power.xlsx!Sales_Dataset"/>
          <x15:modelTable id="Calendar" name="Calendar" connection="Connection"/>
        </x15:modelTables>
        <x15:modelRelationships>
          <x15:modelRelationship fromTable="Sales_Dataset"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 i="4" l="1"/>
  <c r="U14" i="4"/>
  <c r="U15" i="4"/>
  <c r="U16" i="4"/>
  <c r="U17" i="4"/>
  <c r="U18" i="4"/>
  <c r="U19" i="4"/>
  <c r="U20" i="4"/>
  <c r="T14" i="4"/>
  <c r="T15" i="4"/>
  <c r="T16" i="4"/>
  <c r="T17" i="4"/>
  <c r="T18" i="4"/>
  <c r="T19" i="4"/>
  <c r="T20" i="4"/>
  <c r="T13" i="4"/>
  <c r="E5" i="4"/>
  <c r="D5" i="4"/>
  <c r="C5" i="4"/>
  <c r="F5" i="4"/>
  <c r="B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B41453-756D-42F1-BAAE-9557C8ABF09B}" name="Connection" type="104" refreshedVersion="0" background="1">
    <extLst>
      <ext xmlns:x15="http://schemas.microsoft.com/office/spreadsheetml/2010/11/main" uri="{DE250136-89BD-433C-8126-D09CA5730AF9}">
        <x15:connection id="Calendar"/>
      </ext>
    </extLst>
  </connection>
  <connection id="2" xr16:uid="{749337FF-7EC7-4B73-B9EA-9FE49A81F2E3}"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3" xr16:uid="{F4CDDB9F-7089-46E0-97C0-31690152C28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ACE6E15-FC0E-475F-AD5D-AB2183EE298E}" name="WorksheetConnection_Power.xlsx!Sales_Dataset" type="102" refreshedVersion="8" minRefreshableVersion="5">
    <extLst>
      <ext xmlns:x15="http://schemas.microsoft.com/office/spreadsheetml/2010/11/main" uri="{DE250136-89BD-433C-8126-D09CA5730AF9}">
        <x15:connection id="Sales_Dataset">
          <x15:rangePr sourceName="_xlcn.WorksheetConnection_Power.xlsxSales_Dataset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<sst xmlns="http://schemas.openxmlformats.org/spreadsheetml/2006/main" count="8423" uniqueCount="1421">
  <si>
    <t>Order ID</t>
  </si>
  <si>
    <t>Amount</t>
  </si>
  <si>
    <t>Profit</t>
  </si>
  <si>
    <t>Quantity</t>
  </si>
  <si>
    <t>Category</t>
  </si>
  <si>
    <t>Sub-Category</t>
  </si>
  <si>
    <t>PaymentMode</t>
  </si>
  <si>
    <t>Order Date</t>
  </si>
  <si>
    <t>CustomerName</t>
  </si>
  <si>
    <t>State</t>
  </si>
  <si>
    <t>City</t>
  </si>
  <si>
    <t>Year-Month</t>
  </si>
  <si>
    <t>Profit Margin %</t>
  </si>
  <si>
    <t>B-26776</t>
  </si>
  <si>
    <t>Electronics</t>
  </si>
  <si>
    <t>Electronic Games</t>
  </si>
  <si>
    <t>UPI</t>
  </si>
  <si>
    <t>David Padilla</t>
  </si>
  <si>
    <t>Florida</t>
  </si>
  <si>
    <t>Miami</t>
  </si>
  <si>
    <t>Connor Morgan</t>
  </si>
  <si>
    <t>Illinois</t>
  </si>
  <si>
    <t>Chicago</t>
  </si>
  <si>
    <t>Robert Stone</t>
  </si>
  <si>
    <t>New York</t>
  </si>
  <si>
    <t>Buffalo</t>
  </si>
  <si>
    <t>Printers</t>
  </si>
  <si>
    <t>B-26942</t>
  </si>
  <si>
    <t>Office Supplies</t>
  </si>
  <si>
    <t>Pens</t>
  </si>
  <si>
    <t>Debit Card</t>
  </si>
  <si>
    <t>John Fields</t>
  </si>
  <si>
    <t>Orlando</t>
  </si>
  <si>
    <t>Clayton Smith</t>
  </si>
  <si>
    <t>B-26640</t>
  </si>
  <si>
    <t>Laptops</t>
  </si>
  <si>
    <t>EMI</t>
  </si>
  <si>
    <t>Richard Kelley</t>
  </si>
  <si>
    <t>California</t>
  </si>
  <si>
    <t>Los Angeles</t>
  </si>
  <si>
    <t>Furniture</t>
  </si>
  <si>
    <t>Tables</t>
  </si>
  <si>
    <t>Credit Card</t>
  </si>
  <si>
    <t>B-25890</t>
  </si>
  <si>
    <t>Chairs</t>
  </si>
  <si>
    <t>Jacqueline Hubbard</t>
  </si>
  <si>
    <t>New York City</t>
  </si>
  <si>
    <t>B-25102</t>
  </si>
  <si>
    <t>Jessica Anderson</t>
  </si>
  <si>
    <t>B-25426</t>
  </si>
  <si>
    <t>Markers</t>
  </si>
  <si>
    <t>Mary Taylor</t>
  </si>
  <si>
    <t>Sofas</t>
  </si>
  <si>
    <t>B-25238</t>
  </si>
  <si>
    <t>Walter Crawford</t>
  </si>
  <si>
    <t>Springfield</t>
  </si>
  <si>
    <t>Paper</t>
  </si>
  <si>
    <t>COD</t>
  </si>
  <si>
    <t>B-25051</t>
  </si>
  <si>
    <t>Lawrence Robinson</t>
  </si>
  <si>
    <t>Rochester</t>
  </si>
  <si>
    <t>B-26510</t>
  </si>
  <si>
    <t>Douglas Pennington</t>
  </si>
  <si>
    <t>Texas</t>
  </si>
  <si>
    <t>Dallas</t>
  </si>
  <si>
    <t>Ricardo Andrews</t>
  </si>
  <si>
    <t>San Diego</t>
  </si>
  <si>
    <t>B-25104</t>
  </si>
  <si>
    <t>Binders</t>
  </si>
  <si>
    <t>Paul Raymond</t>
  </si>
  <si>
    <t>B-25553</t>
  </si>
  <si>
    <t>Phones</t>
  </si>
  <si>
    <t>Karen Johnson</t>
  </si>
  <si>
    <t>B-26703</t>
  </si>
  <si>
    <t>Juan Erickson</t>
  </si>
  <si>
    <t>Austin</t>
  </si>
  <si>
    <t>B-26232</t>
  </si>
  <si>
    <t>Alexander Reed</t>
  </si>
  <si>
    <t>Jacqueline Harris</t>
  </si>
  <si>
    <t>San Francisco</t>
  </si>
  <si>
    <t>B-25394</t>
  </si>
  <si>
    <t>Tyler Park</t>
  </si>
  <si>
    <t>Richard Wolfe</t>
  </si>
  <si>
    <t>Ohio</t>
  </si>
  <si>
    <t>Columbus</t>
  </si>
  <si>
    <t>B-26157</t>
  </si>
  <si>
    <t>Sierra Rios</t>
  </si>
  <si>
    <t>B-25555</t>
  </si>
  <si>
    <t>Jessica Richardson</t>
  </si>
  <si>
    <t>Kimberly Warren</t>
  </si>
  <si>
    <t>Cincinnati</t>
  </si>
  <si>
    <t>Bookcases</t>
  </si>
  <si>
    <t>B-26139</t>
  </si>
  <si>
    <t>Casey Garcia</t>
  </si>
  <si>
    <t>B-25032</t>
  </si>
  <si>
    <t>Denise Hampton</t>
  </si>
  <si>
    <t>B-25730</t>
  </si>
  <si>
    <t>Justin Rodriguez</t>
  </si>
  <si>
    <t>Cleveland</t>
  </si>
  <si>
    <t>Ms. Emily Baxter</t>
  </si>
  <si>
    <t>Austin White</t>
  </si>
  <si>
    <t>B-26470</t>
  </si>
  <si>
    <t>Morgan Montes</t>
  </si>
  <si>
    <t>Christine Mosley</t>
  </si>
  <si>
    <t>Ashley Rodriguez</t>
  </si>
  <si>
    <t>Elizabeth King</t>
  </si>
  <si>
    <t>B-25988</t>
  </si>
  <si>
    <t>Connie Holmes</t>
  </si>
  <si>
    <t>B-25568</t>
  </si>
  <si>
    <t>Melissa Peck</t>
  </si>
  <si>
    <t>B-26730</t>
  </si>
  <si>
    <t>David Smith</t>
  </si>
  <si>
    <t>Houston</t>
  </si>
  <si>
    <t>B-25372</t>
  </si>
  <si>
    <t>Heather Jenkins</t>
  </si>
  <si>
    <t>B-26026</t>
  </si>
  <si>
    <t>Kelsey Castaneda</t>
  </si>
  <si>
    <t>Katherine Harris</t>
  </si>
  <si>
    <t>B-25295</t>
  </si>
  <si>
    <t>Paul Rogers</t>
  </si>
  <si>
    <t>B-26121</t>
  </si>
  <si>
    <t>Jon Banks</t>
  </si>
  <si>
    <t>Tampa</t>
  </si>
  <si>
    <t>Michelle Williams</t>
  </si>
  <si>
    <t>B-25560</t>
  </si>
  <si>
    <t>Andrew Allen</t>
  </si>
  <si>
    <t>B-26076</t>
  </si>
  <si>
    <t>Vanessa Bauer</t>
  </si>
  <si>
    <t>Sean Smith</t>
  </si>
  <si>
    <t>B-25872</t>
  </si>
  <si>
    <t>Shelly Sweeney</t>
  </si>
  <si>
    <t>B-26185</t>
  </si>
  <si>
    <t>Emily Gill</t>
  </si>
  <si>
    <t>Brian Patrick</t>
  </si>
  <si>
    <t>Dr. Sarah Booth</t>
  </si>
  <si>
    <t>B-26259</t>
  </si>
  <si>
    <t>Douglas Mcfarland</t>
  </si>
  <si>
    <t>Kayla Ross</t>
  </si>
  <si>
    <t>Peoria</t>
  </si>
  <si>
    <t>B-25142</t>
  </si>
  <si>
    <t>Marc Strickland</t>
  </si>
  <si>
    <t>B-25326</t>
  </si>
  <si>
    <t>Charlene Brown</t>
  </si>
  <si>
    <t>Charles Smith</t>
  </si>
  <si>
    <t>B-26795</t>
  </si>
  <si>
    <t>Karen Townsend</t>
  </si>
  <si>
    <t>B-25660</t>
  </si>
  <si>
    <t>Steven Cox</t>
  </si>
  <si>
    <t>Cynthia Rodriguez</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</si>
  <si>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</si>
  <si>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</si>
  <si>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</si>
  <si>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</si>
  <si>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</si>
  <si>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</si>
  <si>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</si>
  <si>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</si>
  <si>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</si>
  <si>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</si>
  <si>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</si>
  <si>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</si>
  <si>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</si>
  <si>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</si>
  <si>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</si>
  <si>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</si>
  <si>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</si>
  <si>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</si>
  <si>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</si>
  <si>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</si>
  <si>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</si>
  <si>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B-25884</t>
  </si>
  <si>
    <t>Sean Elliott</t>
  </si>
  <si>
    <t>Wanda West</t>
  </si>
  <si>
    <t>B-26287</t>
  </si>
  <si>
    <t>Renee Solomon</t>
  </si>
  <si>
    <t>B-26564</t>
  </si>
  <si>
    <t>Daryl Miles</t>
  </si>
  <si>
    <t>B-26293</t>
  </si>
  <si>
    <t>Michael Hunt</t>
  </si>
  <si>
    <t>B-25915</t>
  </si>
  <si>
    <t>Adam Clark</t>
  </si>
  <si>
    <t>Amy Olsen</t>
  </si>
  <si>
    <t>Stacey Miller</t>
  </si>
  <si>
    <t>B-26496</t>
  </si>
  <si>
    <t>Daniel Mosley</t>
  </si>
  <si>
    <t>B-25856</t>
  </si>
  <si>
    <t>Monica Gibson</t>
  </si>
  <si>
    <t>B-26899</t>
  </si>
  <si>
    <t>Christopher Jordan</t>
  </si>
  <si>
    <t>B-25916</t>
  </si>
  <si>
    <t>Christina Davis</t>
  </si>
  <si>
    <t>Claudia Curry</t>
  </si>
  <si>
    <t>B-26428</t>
  </si>
  <si>
    <t>Brandon Anderson</t>
  </si>
  <si>
    <t>B-26332</t>
  </si>
  <si>
    <t>George Foster</t>
  </si>
  <si>
    <t>Nicholas Anderson</t>
  </si>
  <si>
    <t>Emily Ellison</t>
  </si>
  <si>
    <t>B-25303</t>
  </si>
  <si>
    <t>Darren Perez</t>
  </si>
  <si>
    <t>Michelle Hunter</t>
  </si>
  <si>
    <t>B-26507</t>
  </si>
  <si>
    <t>Janet Guerrero</t>
  </si>
  <si>
    <t>B-25983</t>
  </si>
  <si>
    <t>Jeffrey Kline</t>
  </si>
  <si>
    <t>Ryan Bullock</t>
  </si>
  <si>
    <t>B-25156</t>
  </si>
  <si>
    <t>Tom Lawson</t>
  </si>
  <si>
    <t>B-26759</t>
  </si>
  <si>
    <t>Rebecca Smith</t>
  </si>
  <si>
    <t>B-26244</t>
  </si>
  <si>
    <t>William Welch</t>
  </si>
  <si>
    <t>B-26365</t>
  </si>
  <si>
    <t>Mr. Curtis Bailey</t>
  </si>
  <si>
    <t>B-26212</t>
  </si>
  <si>
    <t>Janet Carlson</t>
  </si>
  <si>
    <t>B-25042</t>
  </si>
  <si>
    <t>Spencer Spears</t>
  </si>
  <si>
    <t>B-25901</t>
  </si>
  <si>
    <t>Jeffrey Middleton</t>
  </si>
  <si>
    <t>Veronica Kelley</t>
  </si>
  <si>
    <t>Leslie Bean</t>
  </si>
  <si>
    <t>B-26747</t>
  </si>
  <si>
    <t>Amy Wilson</t>
  </si>
  <si>
    <t>B-26698</t>
  </si>
  <si>
    <t>Susan Ramirez</t>
  </si>
  <si>
    <t>B-25841</t>
  </si>
  <si>
    <t>Jacob Meyer</t>
  </si>
  <si>
    <t>B-26032</t>
  </si>
  <si>
    <t>Scott Lewis</t>
  </si>
  <si>
    <t>Eric Griffith</t>
  </si>
  <si>
    <t>Anna Ferguson</t>
  </si>
  <si>
    <t>B-25171</t>
  </si>
  <si>
    <t>David Figueroa</t>
  </si>
  <si>
    <t>B-26939</t>
  </si>
  <si>
    <t>Theresa Medina</t>
  </si>
  <si>
    <t>B-26347</t>
  </si>
  <si>
    <t>Mary Smith</t>
  </si>
  <si>
    <t>Lance Cain</t>
  </si>
  <si>
    <t>B-25388</t>
  </si>
  <si>
    <t>Alexandra Moran</t>
  </si>
  <si>
    <t>Sara Castro</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</si>
  <si>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</si>
  <si>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</si>
  <si>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</si>
  <si>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</si>
  <si>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</si>
  <si>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</si>
  <si>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</si>
  <si>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</si>
  <si>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</si>
  <si>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</si>
  <si>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</si>
  <si>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</si>
  <si>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</si>
  <si>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</si>
  <si>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</si>
  <si>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B-25885</t>
  </si>
  <si>
    <t>Dawn Howard</t>
  </si>
  <si>
    <t>B-25004</t>
  </si>
  <si>
    <t>Jennifer Marshall</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</si>
  <si>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</si>
  <si>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</si>
  <si>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</si>
  <si>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</si>
  <si>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</si>
  <si>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</si>
  <si>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</si>
  <si>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</si>
  <si>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</si>
  <si>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</si>
  <si>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</si>
  <si>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</si>
  <si>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</si>
  <si>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</si>
  <si>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</si>
  <si>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</si>
  <si>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</si>
  <si>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</si>
  <si>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</si>
  <si>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B-25223</t>
  </si>
  <si>
    <t>Heidi Davis</t>
  </si>
  <si>
    <t>B-25714</t>
  </si>
  <si>
    <t>Charles Lane</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</si>
  <si>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</si>
  <si>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</si>
  <si>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</si>
  <si>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</si>
  <si>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</si>
  <si>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</si>
  <si>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</si>
  <si>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</si>
  <si>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</si>
  <si>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</si>
  <si>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</si>
  <si>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</si>
  <si>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</si>
  <si>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</si>
  <si>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</si>
  <si>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</si>
  <si>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</si>
  <si>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</si>
  <si>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</si>
  <si>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</si>
  <si>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</si>
  <si>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</si>
  <si>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</si>
  <si>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</si>
  <si>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</si>
  <si>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</si>
  <si>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</si>
  <si>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</si>
  <si>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</si>
  <si>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</si>
  <si>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</si>
  <si>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</si>
  <si>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</si>
  <si>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</si>
  <si>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</si>
  <si>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</si>
  <si>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</si>
  <si>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</si>
  <si>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</si>
  <si>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</si>
  <si>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</si>
  <si>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</si>
  <si>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</si>
  <si>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</si>
  <si>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</si>
  <si>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</si>
  <si>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</si>
  <si>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</si>
  <si>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</si>
  <si>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</si>
  <si>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</si>
  <si>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</si>
  <si>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</si>
  <si>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</si>
  <si>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</si>
  <si>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</si>
  <si>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</si>
  <si>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</si>
  <si>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</si>
  <si>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</si>
  <si>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</si>
  <si>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</si>
  <si>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</si>
  <si>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</si>
  <si>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</si>
  <si>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</si>
  <si>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</si>
  <si>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</si>
  <si>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</si>
  <si>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</si>
  <si>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</si>
  <si>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</si>
  <si>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</si>
  <si>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</si>
  <si>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</si>
  <si>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</si>
  <si>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</si>
  <si>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</si>
  <si>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</si>
  <si>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</si>
  <si>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</si>
  <si>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</si>
  <si>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</si>
  <si>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</si>
  <si>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</si>
  <si>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</si>
  <si>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</si>
  <si>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</si>
  <si>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</si>
  <si>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</si>
  <si>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</si>
  <si>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</si>
  <si>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</si>
  <si>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</si>
  <si>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</si>
  <si>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</si>
  <si>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</si>
  <si>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</si>
  <si>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</si>
  <si>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</si>
  <si>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</si>
  <si>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</si>
  <si>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</si>
  <si>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</si>
  <si>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</si>
  <si>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</si>
  <si>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</si>
  <si>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</si>
  <si>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</si>
  <si>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</si>
  <si>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</si>
  <si>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</si>
  <si>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</si>
  <si>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</si>
  <si>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</si>
  <si>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</si>
  <si>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</si>
  <si>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</si>
  <si>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</si>
  <si>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</si>
  <si>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</si>
  <si>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</si>
  <si>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</si>
  <si>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</si>
  <si>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</si>
  <si>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</si>
  <si>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</si>
  <si>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</si>
  <si>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</si>
  <si>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</si>
  <si>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</si>
  <si>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</si>
  <si>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</si>
  <si>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</si>
  <si>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</si>
  <si>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</si>
  <si>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</si>
  <si>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</si>
  <si>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</si>
  <si>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</si>
  <si>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</si>
  <si>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</si>
  <si>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</si>
  <si>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</si>
  <si>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</si>
  <si>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</si>
  <si>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</si>
  <si>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</si>
  <si>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</si>
  <si>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</si>
  <si>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</si>
  <si>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</si>
  <si>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</si>
  <si>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</si>
  <si>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</si>
  <si>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</si>
  <si>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</si>
  <si>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</si>
  <si>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</si>
  <si>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</si>
  <si>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</si>
  <si>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</si>
  <si>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</si>
  <si>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</si>
  <si>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</si>
  <si>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</si>
  <si>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</si>
  <si>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</si>
  <si>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</si>
  <si>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</si>
  <si>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</si>
  <si>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</si>
  <si>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</si>
  <si>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</si>
  <si>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</si>
  <si>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</si>
  <si>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</si>
  <si>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</si>
  <si>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</si>
  <si>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</si>
  <si>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</si>
  <si>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</si>
  <si>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</si>
  <si>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</si>
  <si>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</si>
  <si>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</si>
  <si>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</si>
  <si>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</si>
  <si>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</si>
  <si>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</si>
  <si>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</si>
  <si>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</si>
  <si>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</si>
  <si>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</si>
  <si>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</si>
  <si>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</si>
  <si>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</si>
  <si>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</si>
  <si>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</si>
  <si>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</si>
  <si>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</si>
  <si>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</si>
  <si>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</si>
  <si>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</si>
  <si>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</si>
  <si>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</si>
  <si>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</si>
  <si>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</si>
  <si>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</si>
  <si>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</si>
  <si>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</si>
  <si>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</si>
  <si>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</si>
  <si>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</si>
  <si>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</si>
  <si>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</si>
  <si>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</si>
  <si>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</si>
  <si>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</si>
  <si>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</si>
  <si>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</si>
  <si>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</si>
  <si>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</si>
  <si>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</si>
  <si>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</si>
  <si>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</si>
  <si>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</si>
  <si>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</si>
  <si>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</si>
  <si>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</si>
  <si>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</si>
  <si>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</si>
  <si>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</si>
  <si>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</si>
  <si>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</si>
  <si>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</si>
  <si>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</si>
  <si>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</si>
  <si>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</si>
  <si>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</si>
  <si>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</si>
  <si>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</si>
  <si>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</si>
  <si>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</si>
  <si>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</si>
  <si>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</si>
  <si>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</si>
  <si>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</si>
  <si>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</si>
  <si>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</si>
  <si>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</si>
  <si>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</si>
  <si>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</si>
  <si>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</si>
  <si>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</si>
  <si>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</si>
  <si>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</si>
  <si>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</si>
  <si>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</si>
  <si>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</si>
  <si>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</si>
  <si>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</si>
  <si>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</si>
  <si>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</si>
  <si>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</si>
  <si>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</si>
  <si>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</si>
  <si>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</si>
  <si>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</si>
  <si>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</si>
  <si>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</si>
  <si>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</si>
  <si>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</si>
  <si>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</si>
  <si>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</si>
  <si>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</si>
  <si>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</si>
  <si>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</si>
  <si>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</si>
  <si>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</si>
  <si>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</si>
  <si>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</si>
  <si>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</si>
  <si>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</si>
  <si>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</si>
  <si>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</si>
  <si>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</si>
  <si>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</si>
  <si>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</si>
  <si>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</si>
  <si>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</si>
  <si>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</si>
  <si>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</si>
  <si>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</si>
  <si>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</si>
  <si>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</si>
  <si>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</si>
  <si>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</si>
  <si>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</si>
  <si>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</si>
  <si>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</si>
  <si>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</si>
  <si>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</si>
  <si>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</si>
  <si>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</si>
  <si>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</si>
  <si>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</si>
  <si>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</si>
  <si>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</si>
  <si>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</si>
  <si>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</si>
  <si>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</si>
  <si>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</si>
  <si>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</si>
  <si>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</si>
  <si>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</si>
  <si>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</si>
  <si>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</si>
  <si>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</si>
  <si>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</si>
  <si>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</si>
  <si>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</si>
  <si>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</si>
  <si>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</si>
  <si>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</si>
  <si>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</si>
  <si>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</si>
  <si>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</si>
  <si>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</si>
  <si>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</si>
  <si>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</si>
  <si>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</si>
  <si>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</si>
  <si>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</si>
  <si>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</si>
  <si>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</si>
  <si>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</si>
  <si>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</si>
  <si>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</si>
  <si>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</si>
  <si>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</si>
  <si>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</si>
  <si>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</si>
  <si>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</si>
  <si>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</si>
  <si>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</si>
  <si>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</si>
  <si>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</si>
  <si>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</si>
  <si>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</si>
  <si>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</si>
  <si>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</si>
  <si>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</si>
  <si>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</si>
  <si>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</si>
  <si>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</si>
  <si>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</si>
  <si>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</si>
  <si>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</si>
  <si>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</si>
  <si>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</si>
  <si>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</si>
  <si>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</si>
  <si>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</si>
  <si>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</si>
  <si>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</si>
  <si>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</si>
  <si>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</si>
  <si>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</si>
  <si>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</si>
  <si>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</si>
  <si>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</si>
  <si>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</si>
  <si>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</si>
  <si>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</si>
  <si>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</si>
  <si>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</si>
  <si>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</si>
  <si>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</si>
  <si>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</si>
  <si>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</si>
  <si>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</si>
  <si>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</si>
  <si>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</si>
  <si>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</si>
  <si>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</si>
  <si>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</si>
  <si>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</si>
  <si>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</si>
  <si>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</si>
  <si>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</si>
  <si>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</si>
  <si>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</si>
  <si>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</si>
  <si>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</si>
  <si>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</si>
  <si>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</si>
  <si>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</si>
  <si>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</si>
  <si>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</si>
  <si>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</si>
  <si>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</si>
  <si>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</si>
  <si>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</si>
  <si>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</si>
  <si>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</si>
  <si>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</si>
  <si>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</si>
  <si>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</si>
  <si>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</si>
  <si>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</si>
  <si>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</si>
  <si>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</si>
  <si>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</si>
  <si>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</si>
  <si>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</si>
  <si>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</si>
  <si>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</si>
  <si>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</si>
  <si>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</si>
  <si>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</si>
  <si>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</si>
  <si>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</si>
  <si>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</si>
  <si>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</si>
  <si>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</si>
  <si>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</si>
  <si>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</si>
  <si>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</si>
  <si>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</si>
  <si>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</si>
  <si>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</si>
  <si>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</si>
  <si>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</si>
  <si>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</si>
  <si>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</si>
  <si>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</si>
  <si>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</si>
  <si>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</si>
  <si>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</si>
  <si>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</si>
  <si>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</si>
  <si>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</si>
  <si>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</si>
  <si>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</si>
  <si>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</si>
  <si>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</si>
  <si>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</si>
  <si>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</si>
  <si>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</si>
  <si>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</si>
  <si>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</si>
  <si>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</si>
  <si>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</si>
  <si>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</si>
  <si>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</si>
  <si>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</si>
  <si>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</si>
  <si>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</si>
  <si>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</si>
  <si>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</si>
  <si>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</si>
  <si>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</si>
  <si>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</si>
  <si>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</si>
  <si>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</si>
  <si>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</si>
  <si>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</si>
  <si>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</si>
  <si>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</si>
  <si>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</si>
  <si>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</si>
  <si>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</si>
  <si>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</si>
  <si>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</si>
  <si>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</si>
  <si>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</si>
  <si>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</si>
  <si>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</si>
  <si>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</si>
  <si>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</si>
  <si>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</si>
  <si>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</si>
  <si>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</si>
  <si>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</si>
  <si>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</si>
  <si>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</si>
  <si>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</si>
  <si>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</si>
  <si>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</si>
  <si>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</si>
  <si>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</si>
  <si>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</si>
  <si>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</si>
  <si>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</si>
  <si>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</si>
  <si>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</si>
  <si>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</si>
  <si>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</si>
  <si>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</si>
  <si>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</si>
  <si>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</si>
  <si>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</si>
  <si>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</si>
  <si>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</si>
  <si>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</si>
  <si>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</si>
  <si>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</si>
  <si>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</si>
  <si>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</si>
  <si>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</si>
  <si>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</si>
  <si>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</si>
  <si>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</si>
  <si>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</si>
  <si>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</si>
  <si>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</si>
  <si>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</si>
  <si>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</si>
  <si>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</si>
  <si>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</si>
  <si>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</si>
  <si>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</si>
  <si>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</si>
  <si>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</si>
  <si>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</si>
  <si>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</si>
  <si>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</si>
  <si>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</si>
  <si>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</si>
  <si>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</si>
  <si>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</si>
  <si>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</si>
  <si>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</si>
  <si>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</si>
  <si>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</si>
  <si>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</si>
  <si>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</si>
  <si>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</si>
  <si>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</si>
  <si>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</si>
  <si>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</si>
  <si>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</si>
  <si>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</si>
  <si>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</si>
  <si>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</si>
  <si>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</si>
  <si>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</si>
  <si>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</si>
  <si>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</si>
  <si>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</si>
  <si>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</si>
  <si>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</si>
  <si>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</si>
  <si>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</si>
  <si>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</si>
  <si>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</si>
  <si>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</si>
  <si>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</si>
  <si>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</si>
  <si>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</si>
  <si>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</si>
  <si>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</si>
  <si>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</si>
  <si>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</si>
  <si>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</si>
  <si>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</si>
  <si>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</si>
  <si>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</si>
  <si>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</si>
  <si>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</si>
  <si>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</si>
  <si>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</si>
  <si>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</si>
  <si>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</si>
  <si>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</si>
  <si>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</si>
  <si>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</si>
  <si>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</si>
  <si>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</si>
  <si>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</si>
  <si>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</si>
  <si>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</si>
  <si>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</si>
  <si>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</si>
  <si>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</si>
  <si>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</si>
  <si>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</si>
  <si>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</si>
  <si>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</si>
  <si>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</si>
  <si>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</si>
  <si>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</si>
  <si>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</si>
  <si>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</si>
  <si>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</si>
  <si>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</si>
  <si>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</si>
  <si>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</si>
  <si>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</si>
  <si>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</si>
  <si>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</si>
  <si>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</si>
  <si>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</si>
  <si>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</si>
  <si>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</si>
  <si>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</si>
  <si>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</si>
  <si>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</si>
  <si>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</si>
  <si>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</si>
  <si>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</si>
  <si>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</si>
  <si>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</si>
  <si>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</si>
  <si>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</si>
  <si>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</si>
  <si>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</si>
  <si>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</si>
  <si>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</si>
  <si>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</si>
  <si>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</si>
  <si>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</si>
  <si>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</si>
  <si>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</si>
  <si>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</si>
  <si>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</si>
  <si>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</si>
  <si>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</si>
  <si>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</si>
  <si>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</si>
  <si>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</si>
  <si>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</si>
  <si>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</si>
  <si>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</si>
  <si>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</si>
  <si>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</si>
  <si>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</si>
  <si>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</si>
  <si>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</si>
  <si>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</si>
  <si>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</si>
  <si>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</si>
  <si>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</si>
  <si>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</si>
  <si>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</si>
  <si>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</si>
  <si>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</si>
  <si>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</si>
  <si>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</si>
  <si>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</si>
  <si>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</si>
  <si>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</si>
  <si>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</si>
  <si>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</si>
  <si>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</si>
  <si>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</si>
  <si>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</si>
  <si>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</si>
  <si>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</si>
  <si>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</si>
  <si>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</si>
  <si>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</si>
  <si>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</si>
  <si>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</si>
  <si>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</si>
  <si>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</si>
  <si>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</si>
  <si>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</si>
  <si>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</si>
  <si>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</si>
  <si>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</si>
  <si>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</si>
  <si>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</si>
  <si>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</si>
  <si>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</si>
  <si>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</si>
  <si>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</si>
  <si>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</si>
  <si>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</si>
  <si>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</si>
  <si>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</si>
  <si>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</si>
  <si>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</si>
  <si>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</si>
  <si>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</si>
  <si>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</si>
  <si>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</si>
  <si>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</si>
  <si>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</si>
  <si>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</si>
  <si>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</si>
  <si>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</si>
  <si>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</si>
  <si>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</si>
  <si>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</si>
  <si>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</si>
  <si>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</si>
  <si>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</si>
  <si>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</si>
  <si>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</si>
  <si>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</si>
  <si>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</si>
  <si>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</si>
  <si>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</si>
  <si>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</si>
  <si>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</si>
  <si>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</si>
  <si>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</si>
  <si>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</si>
  <si>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</si>
  <si>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</si>
  <si>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</si>
  <si>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</si>
  <si>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</si>
  <si>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</si>
  <si>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</si>
  <si>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</si>
  <si>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</si>
  <si>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</si>
  <si>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</si>
  <si>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</si>
  <si>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</si>
  <si>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</si>
  <si>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</si>
  <si>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</si>
  <si>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</si>
  <si>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</si>
  <si>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</si>
  <si>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</si>
  <si>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</si>
  <si>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</si>
  <si>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</si>
  <si>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</si>
  <si>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</si>
  <si>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</si>
  <si>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</si>
  <si>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</si>
  <si>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</si>
  <si>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</si>
  <si>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</si>
  <si>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</si>
  <si>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</si>
  <si>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</si>
  <si>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</si>
  <si>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</si>
  <si>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</si>
  <si>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</si>
  <si>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</si>
  <si>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</si>
  <si>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</si>
  <si>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</si>
  <si>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</si>
  <si>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</si>
  <si>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</si>
  <si>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</si>
  <si>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</si>
  <si>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</si>
  <si>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</si>
  <si>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</si>
  <si>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</si>
  <si>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</si>
  <si>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</si>
  <si>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</si>
  <si>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</si>
  <si>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</si>
  <si>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</si>
  <si>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</si>
  <si>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</si>
  <si>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</si>
  <si>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</si>
  <si>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</si>
  <si>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</si>
  <si>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</si>
  <si>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</si>
  <si>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</si>
  <si>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</si>
  <si>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</si>
  <si>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</si>
  <si>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</si>
  <si>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</si>
  <si>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</si>
  <si>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</si>
  <si>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</si>
  <si>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</si>
  <si>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</si>
  <si>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</si>
  <si>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</si>
  <si>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</si>
  <si>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</si>
  <si>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</si>
  <si>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</si>
  <si>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</si>
  <si>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</si>
  <si>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</si>
  <si>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</si>
  <si>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</si>
  <si>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</si>
  <si>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</si>
  <si>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</si>
  <si>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</si>
  <si>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</si>
  <si>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</si>
  <si>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</si>
  <si>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</si>
  <si>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</si>
  <si>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</si>
  <si>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</si>
  <si>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</si>
  <si>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</si>
  <si>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</si>
  <si>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</si>
  <si>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</si>
  <si>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</si>
  <si>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</si>
  <si>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</si>
  <si>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</si>
  <si>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</si>
  <si>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</si>
  <si>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</si>
  <si>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</si>
  <si>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</si>
  <si>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</si>
  <si>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</si>
  <si>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</si>
  <si>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</si>
  <si>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</si>
  <si>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</si>
  <si>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</si>
  <si>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</si>
  <si>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</si>
  <si>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</si>
  <si>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</si>
  <si>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</si>
  <si>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</si>
  <si>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</si>
  <si>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</si>
  <si>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</si>
  <si>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</si>
  <si>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</si>
  <si>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</si>
  <si>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</si>
  <si>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</si>
  <si>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</si>
  <si>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</si>
  <si>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</si>
  <si>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</si>
  <si>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</si>
  <si>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</si>
  <si>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</si>
  <si>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</si>
  <si>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</si>
  <si>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</si>
  <si>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</si>
  <si>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</si>
  <si>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</si>
  <si>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</si>
  <si>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</si>
  <si>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</si>
  <si>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</si>
  <si>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</si>
  <si>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</si>
  <si>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</si>
  <si>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</si>
  <si>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</si>
  <si>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</si>
  <si>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</si>
  <si>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</si>
  <si>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</si>
  <si>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</si>
  <si>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</si>
  <si>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</si>
  <si>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</si>
  <si>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</si>
  <si>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</si>
  <si>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</si>
  <si>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</si>
  <si>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</si>
  <si>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</si>
  <si>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</si>
  <si>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</si>
  <si>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</si>
  <si>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</si>
  <si>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</si>
  <si>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</si>
  <si>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</si>
  <si>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</si>
  <si>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</si>
  <si>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</si>
  <si>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</si>
  <si>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</si>
  <si>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</si>
  <si>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</si>
  <si>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</si>
  <si>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</si>
  <si>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</si>
  <si>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</si>
  <si>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</si>
  <si>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</si>
  <si>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</si>
  <si>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</si>
  <si>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</si>
  <si>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</si>
  <si>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</si>
  <si>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</si>
  <si>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</si>
  <si>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</si>
  <si>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</si>
  <si>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</si>
  <si>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</si>
  <si>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</si>
  <si>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</si>
  <si>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</si>
  <si>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</si>
  <si>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</si>
  <si>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</si>
  <si>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</si>
  <si>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</si>
  <si>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</si>
  <si>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</si>
  <si>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</si>
  <si>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</si>
  <si>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</si>
  <si>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</si>
  <si>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</si>
  <si>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</si>
  <si>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</si>
  <si>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</si>
  <si>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</si>
  <si>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</si>
  <si>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</si>
  <si>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</si>
  <si>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</si>
  <si>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</si>
  <si>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</si>
  <si>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</si>
  <si>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</si>
  <si>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</si>
  <si>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</si>
  <si>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</si>
  <si>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</si>
  <si>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</si>
  <si>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</si>
  <si>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</si>
  <si>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</si>
  <si>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</si>
  <si>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</si>
  <si>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</si>
  <si>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</si>
  <si>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</si>
  <si>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</si>
  <si>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</si>
  <si>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</si>
  <si>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</si>
  <si>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</si>
  <si>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</si>
  <si>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</si>
  <si>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</si>
  <si>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</si>
  <si>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</si>
  <si>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</si>
  <si>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</si>
  <si>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</si>
  <si>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</si>
  <si>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</si>
  <si>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</si>
  <si>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</si>
  <si>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</si>
  <si>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</si>
  <si>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</si>
  <si>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</si>
  <si>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</si>
  <si>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</si>
  <si>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</si>
  <si>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</si>
  <si>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</si>
  <si>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</si>
  <si>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</si>
  <si>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</si>
  <si>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</si>
  <si>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</si>
  <si>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</si>
  <si>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</si>
  <si>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</si>
  <si>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</si>
  <si>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</si>
  <si>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</si>
  <si>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</si>
  <si>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</si>
  <si>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</si>
  <si>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</si>
  <si>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</si>
  <si>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</si>
  <si>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</si>
  <si>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</si>
  <si>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</si>
  <si>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</si>
  <si>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</si>
  <si>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</si>
  <si>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</si>
  <si>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</si>
  <si>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</si>
  <si>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</si>
  <si>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</si>
  <si>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</si>
  <si>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</si>
  <si>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</si>
  <si>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</si>
  <si>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</si>
  <si>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</si>
  <si>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</si>
  <si>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</si>
  <si>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</si>
  <si>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</si>
  <si>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</si>
  <si>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</si>
  <si>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</si>
  <si>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</si>
  <si>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</si>
  <si>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</si>
  <si>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</si>
  <si>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</si>
  <si>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</si>
  <si>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</si>
  <si>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</si>
  <si>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</si>
  <si>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</si>
  <si>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</si>
  <si>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</si>
  <si>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</si>
  <si>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</si>
  <si>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</si>
  <si>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</si>
  <si>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</si>
  <si>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</si>
  <si>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</si>
  <si>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</si>
  <si>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</si>
  <si>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</si>
  <si>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</si>
  <si>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</si>
  <si>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</si>
  <si>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</si>
  <si>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</si>
  <si>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</si>
  <si>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</si>
  <si>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</si>
  <si>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</si>
  <si>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</si>
  <si>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</si>
  <si>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</si>
  <si>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</si>
  <si>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</si>
  <si>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</si>
  <si>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</si>
  <si>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</si>
  <si>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</si>
  <si>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</si>
  <si>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</si>
  <si>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</si>
  <si>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</si>
  <si>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</si>
  <si>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</si>
  <si>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</si>
  <si>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</si>
  <si>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</si>
  <si>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</si>
  <si>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</si>
  <si>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</si>
  <si>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</si>
  <si>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</si>
  <si>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</si>
  <si>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</si>
  <si>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</si>
  <si>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</si>
  <si>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</si>
  <si>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</si>
  <si>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</si>
  <si>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</si>
  <si>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</si>
  <si>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</si>
  <si>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</si>
  <si>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</si>
  <si>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</si>
  <si>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</si>
  <si>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</si>
  <si>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</si>
  <si>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</si>
  <si>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</si>
  <si>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</si>
  <si>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</si>
  <si>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</si>
  <si>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</si>
  <si>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</si>
  <si>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</si>
  <si>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</si>
  <si>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</si>
  <si>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</si>
  <si>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</si>
  <si>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</si>
  <si>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</si>
  <si>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</si>
  <si>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</si>
  <si>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</si>
  <si>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</si>
  <si>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</si>
  <si>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</si>
  <si>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</si>
  <si>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</si>
  <si>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</si>
  <si>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</si>
  <si>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</si>
  <si>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</si>
  <si>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</si>
  <si>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</si>
  <si>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</si>
  <si>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</si>
  <si>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</si>
  <si>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</si>
  <si>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</si>
  <si>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</si>
  <si>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</si>
  <si>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Total Sales</t>
  </si>
  <si>
    <t>Total Profit</t>
  </si>
  <si>
    <t>The Profit Margin %</t>
  </si>
  <si>
    <t>Total Units</t>
  </si>
  <si>
    <t>Row Labels</t>
  </si>
  <si>
    <t>Grand Total</t>
  </si>
  <si>
    <t>Quantity %</t>
  </si>
  <si>
    <t>Sum of Quantity %</t>
  </si>
  <si>
    <t xml:space="preserve">Total Sales per State &amp; City </t>
  </si>
  <si>
    <t>Sales Growth %</t>
  </si>
  <si>
    <t>General Insights</t>
  </si>
  <si>
    <t>Sales by Year</t>
  </si>
  <si>
    <t>Top 10 Cities in Sales</t>
  </si>
  <si>
    <t>Units per City</t>
  </si>
  <si>
    <t>Sales growth per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</si>
</sst>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9" formatCode="#,##0.00,,&quot;M&quot;"/>
    <numFmt numFmtId="170" formatCode="#,##0.00,&quot;K&quot;"/>
  </numFmts>
  <fonts count="5" x14ac:knownFonts="1">
    <font>
      <sz val="11"/>
      <color theme="1"/>
      <name val="Calibri"/>
      <family val="2"/>
      <scheme val="minor"/>
    </font>
    <font>
      <sz val="11"/>
      <color theme="1"/>
      <name val="Biome"/>
      <family val="2"/>
    </font>
    <font>
      <sz val="11"/>
      <color rgb="FF0F2854"/>
      <name val="Calibri"/>
      <family val="2"/>
      <scheme val="minor"/>
    </font>
    <font>
      <b/>
      <sz val="14"/>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4">
    <xf numFmtId="0" fontId="0" fillId="0" borderId="0" xfId="0"/>
    <xf numFmtId="14" fontId="0" fillId="0" borderId="0" xfId="0" applyNumberFormat="1"/>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0" xfId="0" applyFont="1" applyFill="1"/>
    <xf numFmtId="0" fontId="0" fillId="2" borderId="0" xfId="0" applyFill="1"/>
    <xf numFmtId="0" fontId="2" fillId="2" borderId="0" xfId="0" applyFont="1" applyFill="1"/>
    <xf numFmtId="0" fontId="3" fillId="0" borderId="0" xfId="0" applyFont="1"/>
    <xf numFmtId="169" fontId="0" fillId="0" borderId="0" xfId="0" applyNumberFormat="1"/>
    <xf numFmtId="170" fontId="0" fillId="0" borderId="0" xfId="0" applyNumberFormat="1"/>
    <xf numFmtId="10" fontId="0" fillId="0" borderId="0" xfId="1" applyNumberFormat="1" applyFont="1"/>
  </cellXfs>
  <cellStyles count="2">
    <cellStyle name="Normal" xfId="0" builtinId="0"/>
    <cellStyle name="Percent" xfId="1" builtinId="5"/>
  </cellStyles>
  <dxfs count="16">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name val="Bahnschrift SemiLight"/>
        <family val="2"/>
        <scheme val="none"/>
      </font>
      <border>
        <left style="thin">
          <color theme="4"/>
        </left>
        <right style="thin">
          <color theme="4"/>
        </right>
        <top style="thin">
          <color theme="4"/>
        </top>
        <bottom style="thin">
          <color theme="4"/>
        </bottom>
        <vertical/>
        <horizontal/>
      </border>
    </dxf>
    <dxf>
      <fill>
        <patternFill>
          <bgColor rgb="FFFFFF00"/>
        </patternFill>
      </fill>
    </dxf>
    <dxf>
      <fill>
        <patternFill>
          <bgColor rgb="FFFF0000"/>
        </patternFill>
      </fill>
    </dxf>
    <dxf>
      <font>
        <b/>
        <i val="0"/>
        <strike val="0"/>
        <sz val="18"/>
        <color rgb="FFBDE8F5"/>
        <name val="Univers"/>
        <family val="2"/>
      </font>
      <fill>
        <patternFill>
          <bgColor rgb="FF0F2854"/>
        </patternFill>
      </fill>
    </dxf>
    <dxf>
      <font>
        <b/>
        <i val="0"/>
        <name val="Univers"/>
        <family val="2"/>
        <scheme val="none"/>
      </font>
      <fill>
        <patternFill>
          <bgColor rgb="FF0F2854"/>
        </patternFill>
      </fill>
      <border diagonalUp="0" diagonalDown="0">
        <left/>
        <right/>
        <top/>
        <bottom/>
        <vertical/>
        <horizontal/>
      </border>
    </dxf>
    <dxf>
      <font>
        <name val="Bahnschrift SemiLight"/>
        <family val="2"/>
        <scheme val="none"/>
      </font>
    </dxf>
  </dxfs>
  <tableStyles count="4" defaultTableStyle="TableStyleMedium2" defaultPivotStyle="PivotStyleLight16">
    <tableStyle name="Slicer Style 1" pivot="0" table="0" count="1" xr9:uid="{8FF144B2-16F9-496A-ABCD-3C0BBEFD9D19}">
      <tableStyleElement type="wholeTable" dxfId="15"/>
    </tableStyle>
    <tableStyle name="Slicer Style 2" pivot="0" table="0" count="6" xr9:uid="{F418F762-E3E8-44B7-9DD4-8C6ABB0C1870}">
      <tableStyleElement type="wholeTable" dxfId="14"/>
      <tableStyleElement type="headerRow" dxfId="13"/>
    </tableStyle>
    <tableStyle name="Slicer Style 3" pivot="0" table="0" count="2" xr9:uid="{680F0968-76A9-4143-8721-B42708216497}">
      <tableStyleElement type="wholeTable" dxfId="12"/>
      <tableStyleElement type="headerRow" dxfId="11"/>
    </tableStyle>
    <tableStyle name="SlicerStyleLight1 2" pivot="0" table="0" count="10" xr9:uid="{1DEF3F54-13AE-4965-A953-8884F14013D2}">
      <tableStyleElement type="wholeTable" dxfId="10"/>
      <tableStyleElement type="headerRow" dxfId="9"/>
    </tableStyle>
  </tableStyles>
  <colors>
    <mruColors>
      <color rgb="FF0F2854"/>
      <color rgb="FFBDE8F5"/>
      <color rgb="FF2845D6"/>
      <color rgb="FFF68048"/>
      <color rgb="FF1C4D8D"/>
      <color rgb="FFB5855C"/>
      <color rgb="FF7400B8"/>
      <color rgb="FF5E60CE"/>
      <color rgb="FF80FFDB"/>
      <color rgb="FF4EA8DE"/>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val="0"/>
            <i val="0"/>
            <sz val="16"/>
            <color rgb="FFBDE8F5"/>
            <name val="Arial"/>
            <family val="2"/>
          </font>
          <fill>
            <patternFill>
              <bgColor rgb="FF0F2854"/>
            </patternFill>
          </fill>
          <border>
            <left style="thin">
              <color rgb="FFBDE8F5"/>
            </left>
            <right style="thin">
              <color rgb="FFBDE8F5"/>
            </right>
            <top style="thin">
              <color rgb="FFBDE8F5"/>
            </top>
            <bottom style="thin">
              <color rgb="FFBDE8F5"/>
            </bottom>
          </border>
        </dxf>
        <dxf>
          <font>
            <b val="0"/>
            <i val="0"/>
            <sz val="16"/>
            <color rgb="FFBDE8F5"/>
            <name val="Arial"/>
            <family val="2"/>
          </font>
          <fill>
            <patternFill>
              <bgColor rgb="FF0F2854"/>
            </patternFill>
          </fill>
          <border>
            <left style="thin">
              <color rgb="FFBDE8F5"/>
            </left>
            <right style="thin">
              <color rgb="FFBDE8F5"/>
            </right>
            <top style="thin">
              <color rgb="FFBDE8F5"/>
            </top>
            <bottom style="thin">
              <color rgb="FFBDE8F5"/>
            </bottom>
          </border>
        </dxf>
        <dxf>
          <font>
            <b val="0"/>
            <i val="0"/>
            <sz val="16"/>
            <color rgb="FF0F2854"/>
            <name val="Arial"/>
            <family val="2"/>
            <scheme val="none"/>
          </font>
          <fill>
            <patternFill>
              <bgColor rgb="FFBDE8F5"/>
            </patternFill>
          </fill>
        </dxf>
        <dxf>
          <font>
            <b val="0"/>
            <i val="0"/>
            <sz val="16"/>
            <color rgb="FFBDE8F5"/>
            <name val="Arial"/>
            <family val="2"/>
            <scheme val="none"/>
          </font>
          <fill>
            <patternFill>
              <bgColor rgb="FF1C4D8D"/>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3"/>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alcChain" Target="calcChain.xml"/><Relationship Id="rId39" Type="http://schemas.openxmlformats.org/officeDocument/2006/relationships/customXml" Target="../customXml/item13.xml"/><Relationship Id="rId21" Type="http://schemas.microsoft.com/office/2022/10/relationships/richValueRel" Target="richData/richValueRel.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microsoft.com/office/2017/06/relationships/rdRichValueTypes" Target="richData/rdRichValueTyp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23" Type="http://schemas.microsoft.com/office/2017/06/relationships/rdRichValueStructure" Target="richData/rdrichvaluestructure.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microsoft.com/office/2017/06/relationships/rdRichValue" Target="richData/rdrichvalue.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sheetMetadata" Target="metadata.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[Power.xlsx]Tables!Distribution of Units by Category</c:name>
    <c:fmtId val="4"/>
  </c:pivotSource>
  <c:chart>
    <c:title>
      <c:tx>
        <c:rich>
          <a:bodyPr rot="0" vert="horz"/>
          <a:lstStyle/>
          <a:p>
            <a:pPr>
              <a:defRPr sz="2800">
                <a:solidFill>
                  <a:srgbClr val="0F2854"/>
                </a:solidFill>
              </a:defRPr>
            </a:pPr>
            <a:r>
              <a:rPr lang="en-US" sz="2800">
                <a:solidFill>
                  <a:srgbClr val="0F2854"/>
                </a:solidFill>
              </a:rPr>
              <a:t>Distribution of Units by Categorys</a:t>
            </a:r>
          </a:p>
        </c:rich>
      </c:tx>
      <c:overlay val="0"/>
      <c:spPr>
        <a:noFill/>
        <a:ln>
          <a:noFill/>
        </a:ln>
        <a:effectLst/>
      </c:spPr>
    </c:title>
    <c:autoTitleDeleted val="0"/>
    <c:pivotFmts>
      <c:pivotFmt>
        <c:idx val="0"/>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spc="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68048"/>
          </a:solidFill>
          <a:ln w="19050">
            <a:solidFill>
              <a:schemeClr val="lt1"/>
            </a:solidFill>
          </a:ln>
          <a:effectLst/>
        </c:spPr>
      </c:pivotFmt>
      <c:pivotFmt>
        <c:idx val="7"/>
      </c:pivotFmt>
      <c:pivotFmt>
        <c:idx val="8"/>
        <c:spPr>
          <a:solidFill>
            <a:srgbClr val="715A5A"/>
          </a:solidFill>
          <a:ln w="19050">
            <a:solidFill>
              <a:schemeClr val="lt1"/>
            </a:solidFill>
          </a:ln>
          <a:effectLst/>
        </c:spPr>
      </c:pivotFmt>
      <c:pivotFmt>
        <c:idx val="9"/>
        <c:spPr>
          <a:solidFill>
            <a:schemeClr val="accent1">
              <a:shade val="40000"/>
            </a:schemeClr>
          </a:solidFill>
          <a:ln w="19050">
            <a:solidFill>
              <a:schemeClr val="lt1"/>
            </a:solidFill>
          </a:ln>
          <a:effectLst/>
        </c:spPr>
      </c:pivotFmt>
      <c:pivotFmt>
        <c:idx val="10"/>
        <c:spPr>
          <a:solidFill>
            <a:schemeClr val="accent1">
              <a:shade val="51000"/>
            </a:schemeClr>
          </a:solidFill>
          <a:ln w="19050">
            <a:solidFill>
              <a:schemeClr val="lt1"/>
            </a:solidFill>
          </a:ln>
          <a:effectLst/>
        </c:spPr>
      </c:pivotFmt>
      <c:pivotFmt>
        <c:idx val="11"/>
        <c:spPr>
          <a:solidFill>
            <a:schemeClr val="accent1">
              <a:shade val="62000"/>
            </a:schemeClr>
          </a:solidFill>
          <a:ln w="19050">
            <a:solidFill>
              <a:schemeClr val="lt1"/>
            </a:solidFill>
          </a:ln>
          <a:effectLst/>
        </c:spPr>
      </c:pivotFmt>
      <c:pivotFmt>
        <c:idx val="12"/>
        <c:spPr>
          <a:solidFill>
            <a:schemeClr val="accent1">
              <a:shade val="73000"/>
            </a:schemeClr>
          </a:solidFill>
          <a:ln w="19050">
            <a:solidFill>
              <a:schemeClr val="lt1"/>
            </a:solidFill>
          </a:ln>
          <a:effectLst/>
        </c:spPr>
      </c:pivotFmt>
      <c:pivotFmt>
        <c:idx val="13"/>
        <c:spPr>
          <a:solidFill>
            <a:schemeClr val="accent1">
              <a:shade val="83000"/>
            </a:schemeClr>
          </a:solidFill>
          <a:ln w="19050">
            <a:solidFill>
              <a:schemeClr val="lt1"/>
            </a:solidFill>
          </a:ln>
          <a:effectLst/>
        </c:spPr>
      </c:pivotFmt>
      <c:pivotFmt>
        <c:idx val="14"/>
        <c:spPr>
          <a:solidFill>
            <a:schemeClr val="accent1">
              <a:shade val="94000"/>
            </a:schemeClr>
          </a:solidFill>
          <a:ln w="19050">
            <a:solidFill>
              <a:schemeClr val="lt1"/>
            </a:solidFill>
          </a:ln>
          <a:effectLst/>
        </c:spPr>
      </c:pivotFmt>
      <c:pivotFmt>
        <c:idx val="15"/>
        <c:spPr>
          <a:solidFill>
            <a:schemeClr val="accent1">
              <a:tint val="95000"/>
            </a:schemeClr>
          </a:solidFill>
          <a:ln w="19050">
            <a:solidFill>
              <a:schemeClr val="lt1"/>
            </a:solidFill>
          </a:ln>
          <a:effectLst/>
        </c:spPr>
      </c:pivotFmt>
      <c:pivotFmt>
        <c:idx val="16"/>
        <c:spPr>
          <a:solidFill>
            <a:schemeClr val="accent1">
              <a:tint val="84000"/>
            </a:schemeClr>
          </a:solidFill>
          <a:ln w="19050">
            <a:solidFill>
              <a:schemeClr val="lt1"/>
            </a:solidFill>
          </a:ln>
          <a:effectLst/>
        </c:spPr>
      </c:pivotFmt>
      <c:pivotFmt>
        <c:idx val="17"/>
        <c:spPr>
          <a:solidFill>
            <a:schemeClr val="accent1">
              <a:tint val="74000"/>
            </a:schemeClr>
          </a:solidFill>
          <a:ln w="19050">
            <a:solidFill>
              <a:schemeClr val="lt1"/>
            </a:solidFill>
          </a:ln>
          <a:effectLst/>
        </c:spPr>
      </c:pivotFmt>
      <c:pivotFmt>
        <c:idx val="18"/>
        <c:spPr>
          <a:solidFill>
            <a:schemeClr val="accent1">
              <a:tint val="63000"/>
            </a:schemeClr>
          </a:solidFill>
          <a:ln w="19050">
            <a:solidFill>
              <a:schemeClr val="lt1"/>
            </a:solidFill>
          </a:ln>
          <a:effectLst/>
        </c:spPr>
      </c:pivotFmt>
      <c:pivotFmt>
        <c:idx val="19"/>
        <c:spPr>
          <a:solidFill>
            <a:schemeClr val="accent1">
              <a:tint val="52000"/>
            </a:schemeClr>
          </a:solidFill>
          <a:ln w="19050">
            <a:solidFill>
              <a:schemeClr val="lt1"/>
            </a:solidFill>
          </a:ln>
          <a:effectLst/>
        </c:spPr>
      </c:pivotFmt>
      <c:pivotFmt>
        <c:idx val="20"/>
        <c:spPr>
          <a:solidFill>
            <a:schemeClr val="accent1">
              <a:tint val="41000"/>
            </a:schemeClr>
          </a:solidFill>
          <a:ln w="19050">
            <a:solidFill>
              <a:schemeClr val="lt1"/>
            </a:solidFill>
          </a:ln>
          <a:effectLst/>
        </c:spPr>
      </c:pivotFmt>
      <c:pivotFmt>
        <c:idx val="2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rgbClr val="0F2854"/>
                  </a:solidFill>
                  <a:latin typeface="Bahnschrift Sem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68048"/>
          </a:solidFill>
          <a:ln w="19050">
            <a:solidFill>
              <a:schemeClr val="lt1"/>
            </a:solidFill>
          </a:ln>
          <a:effectLst/>
        </c:spPr>
      </c:pivotFmt>
      <c:pivotFmt>
        <c:idx val="23"/>
        <c:spPr>
          <a:solidFill>
            <a:srgbClr val="BDE8F5"/>
          </a:solidFill>
          <a:ln w="19050">
            <a:solidFill>
              <a:schemeClr val="lt1"/>
            </a:solidFill>
          </a:ln>
          <a:effectLst/>
        </c:spPr>
      </c:pivotFmt>
      <c:pivotFmt>
        <c:idx val="24"/>
        <c:spPr>
          <a:solidFill>
            <a:srgbClr val="2845D6"/>
          </a:solidFill>
          <a:ln w="19050">
            <a:solidFill>
              <a:schemeClr val="lt1"/>
            </a:solidFill>
          </a:ln>
          <a:effectLst/>
        </c:spPr>
      </c:pivotFmt>
      <c:pivotFmt>
        <c:idx val="2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rgbClr val="0F2854"/>
                  </a:solidFill>
                  <a:latin typeface="Bahnschrift Sem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BDE8F5"/>
          </a:solidFill>
          <a:ln w="19050">
            <a:solidFill>
              <a:schemeClr val="lt1"/>
            </a:solidFill>
          </a:ln>
          <a:effectLst/>
        </c:spPr>
      </c:pivotFmt>
      <c:pivotFmt>
        <c:idx val="27"/>
        <c:spPr>
          <a:solidFill>
            <a:srgbClr val="2845D6"/>
          </a:solidFill>
          <a:ln w="19050">
            <a:solidFill>
              <a:schemeClr val="lt1"/>
            </a:solidFill>
          </a:ln>
          <a:effectLst/>
        </c:spPr>
      </c:pivotFmt>
      <c:pivotFmt>
        <c:idx val="28"/>
        <c:spPr>
          <a:solidFill>
            <a:srgbClr val="F68048"/>
          </a:solidFill>
          <a:ln w="19050">
            <a:solidFill>
              <a:schemeClr val="lt1"/>
            </a:solidFill>
          </a:ln>
          <a:effectLst/>
        </c:spPr>
      </c:pivotFmt>
      <c:pivotFmt>
        <c:idx val="2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rgbClr val="0F2854"/>
                  </a:solidFill>
                  <a:latin typeface="Bahnschrift Sem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BDE8F5"/>
          </a:solidFill>
          <a:ln w="19050">
            <a:solidFill>
              <a:schemeClr val="lt1"/>
            </a:solidFill>
          </a:ln>
          <a:effectLst/>
        </c:spPr>
      </c:pivotFmt>
      <c:pivotFmt>
        <c:idx val="31"/>
        <c:spPr>
          <a:solidFill>
            <a:srgbClr val="2845D6"/>
          </a:solidFill>
          <a:ln w="19050">
            <a:solidFill>
              <a:schemeClr val="lt1"/>
            </a:solidFill>
          </a:ln>
          <a:effectLst/>
        </c:spPr>
      </c:pivotFmt>
      <c:pivotFmt>
        <c:idx val="32"/>
        <c:spPr>
          <a:solidFill>
            <a:srgbClr val="F68048"/>
          </a:solidFill>
          <a:ln w="19050">
            <a:solidFill>
              <a:schemeClr val="lt1"/>
            </a:solidFill>
          </a:ln>
          <a:effectLst/>
        </c:spPr>
      </c:pivotFmt>
      <c:pivotFmt>
        <c:idx val="33"/>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rgbClr val="0F2854"/>
                  </a:solidFill>
                  <a:latin typeface="Bahnschrift Sem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BDE8F5"/>
          </a:solidFill>
          <a:ln w="19050">
            <a:solidFill>
              <a:schemeClr val="lt1"/>
            </a:solidFill>
          </a:ln>
          <a:effectLst/>
        </c:spPr>
      </c:pivotFmt>
      <c:pivotFmt>
        <c:idx val="35"/>
        <c:spPr>
          <a:solidFill>
            <a:srgbClr val="2845D6"/>
          </a:solidFill>
          <a:ln w="19050">
            <a:solidFill>
              <a:schemeClr val="lt1"/>
            </a:solidFill>
          </a:ln>
          <a:effectLst/>
        </c:spPr>
      </c:pivotFmt>
      <c:pivotFmt>
        <c:idx val="36"/>
        <c:spPr>
          <a:solidFill>
            <a:srgbClr val="F68048"/>
          </a:solidFill>
          <a:ln w="19050">
            <a:solidFill>
              <a:schemeClr val="lt1"/>
            </a:solidFill>
          </a:ln>
          <a:effectLst/>
        </c:spPr>
      </c:pivotFmt>
      <c:pivotFmt>
        <c:idx val="37"/>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rgbClr val="0F2854"/>
                  </a:solidFill>
                  <a:latin typeface="Bahnschrift Sem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BDE8F5"/>
          </a:solidFill>
          <a:ln w="19050">
            <a:solidFill>
              <a:schemeClr val="lt1"/>
            </a:solidFill>
          </a:ln>
          <a:effectLst/>
        </c:spPr>
      </c:pivotFmt>
      <c:pivotFmt>
        <c:idx val="39"/>
        <c:spPr>
          <a:solidFill>
            <a:srgbClr val="2845D6"/>
          </a:solidFill>
          <a:ln w="19050">
            <a:solidFill>
              <a:schemeClr val="lt1"/>
            </a:solidFill>
          </a:ln>
          <a:effectLst/>
        </c:spPr>
      </c:pivotFmt>
      <c:pivotFmt>
        <c:idx val="40"/>
        <c:spPr>
          <a:solidFill>
            <a:srgbClr val="F68048"/>
          </a:solidFill>
          <a:ln w="19050">
            <a:solidFill>
              <a:schemeClr val="lt1"/>
            </a:solidFill>
          </a:ln>
          <a:effectLst/>
        </c:spPr>
      </c:pivotFmt>
      <c:pivotFmt>
        <c:idx val="41"/>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rgbClr val="0F2854"/>
                  </a:solidFill>
                  <a:latin typeface="Bahnschrift Semi"/>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BDE8F5"/>
          </a:solidFill>
          <a:ln w="19050">
            <a:solidFill>
              <a:schemeClr val="lt1"/>
            </a:solidFill>
          </a:ln>
          <a:effectLst/>
        </c:spPr>
      </c:pivotFmt>
      <c:pivotFmt>
        <c:idx val="43"/>
        <c:spPr>
          <a:solidFill>
            <a:srgbClr val="2845D6"/>
          </a:solidFill>
          <a:ln w="19050">
            <a:solidFill>
              <a:schemeClr val="lt1"/>
            </a:solidFill>
          </a:ln>
          <a:effectLst/>
        </c:spPr>
      </c:pivotFmt>
      <c:pivotFmt>
        <c:idx val="44"/>
        <c:spPr>
          <a:solidFill>
            <a:srgbClr val="F68048"/>
          </a:solidFill>
          <a:ln w="19050">
            <a:solidFill>
              <a:schemeClr val="lt1"/>
            </a:solidFill>
          </a:ln>
          <a:effectLst/>
        </c:spPr>
      </c:pivotFmt>
      <c:pivotFmt>
        <c:idx val="45"/>
        <c:spPr>
          <a:ln>
            <a:noFill/>
          </a:ln>
        </c:spPr>
        <c:marker>
          <c:symbol val="none"/>
        </c:marker>
        <c:dLbl>
          <c:idx val="0"/>
          <c:spPr>
            <a:noFill/>
            <a:ln>
              <a:noFill/>
            </a:ln>
            <a:effectLst/>
          </c:spPr>
          <c:txPr>
            <a:bodyPr rot="0" vert="horz"/>
            <a:lstStyle/>
            <a:p>
              <a:pPr>
                <a:defRPr>
                  <a:solidFill>
                    <a:srgbClr val="0F2854"/>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2845D6"/>
          </a:solidFill>
          <a:ln w="19050">
            <a:noFill/>
          </a:ln>
          <a:effectLst/>
        </c:spPr>
      </c:pivotFmt>
      <c:pivotFmt>
        <c:idx val="47"/>
        <c:spPr>
          <a:solidFill>
            <a:srgbClr val="0F2854"/>
          </a:solidFill>
          <a:ln w="19050">
            <a:noFill/>
          </a:ln>
          <a:effectLst/>
        </c:spPr>
      </c:pivotFmt>
      <c:pivotFmt>
        <c:idx val="48"/>
        <c:spPr>
          <a:solidFill>
            <a:srgbClr val="BDE8F5"/>
          </a:solidFill>
          <a:ln w="19050">
            <a:noFill/>
          </a:ln>
          <a:effectLst/>
        </c:spPr>
      </c:pivotFmt>
    </c:pivotFmts>
    <c:plotArea>
      <c:layout/>
      <c:pieChart>
        <c:varyColors val="1"/>
        <c:ser>
          <c:idx val="0"/>
          <c:order val="0"/>
          <c:tx>
            <c:strRef>
              <c:f>Tables!$R$3</c:f>
              <c:strCache>
                <c:ptCount val="1"/>
                <c:pt idx="0">
                  <c:v>Total</c:v>
                </c:pt>
              </c:strCache>
            </c:strRef>
          </c:tx>
          <c:spPr>
            <a:ln>
              <a:noFill/>
            </a:ln>
          </c:spPr>
          <c:dPt>
            <c:idx val="0"/>
            <c:bubble3D val="0"/>
            <c:spPr>
              <a:solidFill>
                <a:srgbClr val="2845D6"/>
              </a:solidFill>
              <a:ln w="19050">
                <a:noFill/>
              </a:ln>
              <a:effectLst/>
            </c:spPr>
            <c:extLst>
              <c:ext xmlns:c16="http://schemas.microsoft.com/office/drawing/2014/chart" uri="{C3380CC4-5D6E-409C-BE32-E72D297353CC}">
                <c16:uniqueId val="{00000036-B92F-482E-A24E-8F3008F0E69A}"/>
              </c:ext>
            </c:extLst>
          </c:dPt>
          <c:dPt>
            <c:idx val="1"/>
            <c:bubble3D val="0"/>
            <c:spPr>
              <a:solidFill>
                <a:srgbClr val="0F2854"/>
              </a:solidFill>
              <a:ln w="19050">
                <a:noFill/>
              </a:ln>
              <a:effectLst/>
            </c:spPr>
            <c:extLst>
              <c:ext xmlns:c16="http://schemas.microsoft.com/office/drawing/2014/chart" uri="{C3380CC4-5D6E-409C-BE32-E72D297353CC}">
                <c16:uniqueId val="{00000038-B92F-482E-A24E-8F3008F0E69A}"/>
              </c:ext>
            </c:extLst>
          </c:dPt>
          <c:dPt>
            <c:idx val="2"/>
            <c:bubble3D val="0"/>
            <c:spPr>
              <a:solidFill>
                <a:srgbClr val="BDE8F5"/>
              </a:solidFill>
              <a:ln w="19050">
                <a:noFill/>
              </a:ln>
              <a:effectLst/>
            </c:spPr>
            <c:extLst>
              <c:ext xmlns:c16="http://schemas.microsoft.com/office/drawing/2014/chart" uri="{C3380CC4-5D6E-409C-BE32-E72D297353CC}">
                <c16:uniqueId val="{0000003A-B92F-482E-A24E-8F3008F0E69A}"/>
              </c:ext>
            </c:extLst>
          </c:dPt>
          <c:dPt>
            <c:idx val="3"/>
            <c:bubble3D val="0"/>
            <c:extLst>
              <c:ext xmlns:c16="http://schemas.microsoft.com/office/drawing/2014/chart" uri="{C3380CC4-5D6E-409C-BE32-E72D297353CC}">
                <c16:uniqueId val="{0000003B-B92F-482E-A24E-8F3008F0E69A}"/>
              </c:ext>
            </c:extLst>
          </c:dPt>
          <c:dPt>
            <c:idx val="4"/>
            <c:bubble3D val="0"/>
            <c:extLst>
              <c:ext xmlns:c16="http://schemas.microsoft.com/office/drawing/2014/chart" uri="{C3380CC4-5D6E-409C-BE32-E72D297353CC}">
                <c16:uniqueId val="{0000003C-B92F-482E-A24E-8F3008F0E69A}"/>
              </c:ext>
            </c:extLst>
          </c:dPt>
          <c:dPt>
            <c:idx val="5"/>
            <c:bubble3D val="0"/>
            <c:extLst>
              <c:ext xmlns:c16="http://schemas.microsoft.com/office/drawing/2014/chart" uri="{C3380CC4-5D6E-409C-BE32-E72D297353CC}">
                <c16:uniqueId val="{0000003D-B92F-482E-A24E-8F3008F0E69A}"/>
              </c:ext>
            </c:extLst>
          </c:dPt>
          <c:dPt>
            <c:idx val="6"/>
            <c:bubble3D val="0"/>
            <c:extLst>
              <c:ext xmlns:c16="http://schemas.microsoft.com/office/drawing/2014/chart" uri="{C3380CC4-5D6E-409C-BE32-E72D297353CC}">
                <c16:uniqueId val="{0000003E-B92F-482E-A24E-8F3008F0E69A}"/>
              </c:ext>
            </c:extLst>
          </c:dPt>
          <c:dPt>
            <c:idx val="7"/>
            <c:bubble3D val="0"/>
            <c:extLst>
              <c:ext xmlns:c16="http://schemas.microsoft.com/office/drawing/2014/chart" uri="{C3380CC4-5D6E-409C-BE32-E72D297353CC}">
                <c16:uniqueId val="{0000003F-B92F-482E-A24E-8F3008F0E69A}"/>
              </c:ext>
            </c:extLst>
          </c:dPt>
          <c:dPt>
            <c:idx val="8"/>
            <c:bubble3D val="0"/>
            <c:extLst>
              <c:ext xmlns:c16="http://schemas.microsoft.com/office/drawing/2014/chart" uri="{C3380CC4-5D6E-409C-BE32-E72D297353CC}">
                <c16:uniqueId val="{00000040-B92F-482E-A24E-8F3008F0E69A}"/>
              </c:ext>
            </c:extLst>
          </c:dPt>
          <c:dPt>
            <c:idx val="9"/>
            <c:bubble3D val="0"/>
            <c:extLst>
              <c:ext xmlns:c16="http://schemas.microsoft.com/office/drawing/2014/chart" uri="{C3380CC4-5D6E-409C-BE32-E72D297353CC}">
                <c16:uniqueId val="{00000041-B92F-482E-A24E-8F3008F0E69A}"/>
              </c:ext>
            </c:extLst>
          </c:dPt>
          <c:dPt>
            <c:idx val="10"/>
            <c:bubble3D val="0"/>
            <c:extLst>
              <c:ext xmlns:c16="http://schemas.microsoft.com/office/drawing/2014/chart" uri="{C3380CC4-5D6E-409C-BE32-E72D297353CC}">
                <c16:uniqueId val="{00000042-B92F-482E-A24E-8F3008F0E69A}"/>
              </c:ext>
            </c:extLst>
          </c:dPt>
          <c:dPt>
            <c:idx val="11"/>
            <c:bubble3D val="0"/>
            <c:extLst>
              <c:ext xmlns:c16="http://schemas.microsoft.com/office/drawing/2014/chart" uri="{C3380CC4-5D6E-409C-BE32-E72D297353CC}">
                <c16:uniqueId val="{00000043-B92F-482E-A24E-8F3008F0E69A}"/>
              </c:ext>
            </c:extLst>
          </c:dPt>
          <c:dLbls>
            <c:spPr>
              <a:noFill/>
              <a:ln>
                <a:noFill/>
              </a:ln>
              <a:effectLst/>
            </c:spPr>
            <c:txPr>
              <a:bodyPr rot="0" vert="horz"/>
              <a:lstStyle/>
              <a:p>
                <a:pPr>
                  <a:defRPr>
                    <a:solidFill>
                      <a:srgbClr val="0F2854"/>
                    </a:solidFill>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Tables!$Q$4:$Q$7</c:f>
              <c:strCache>
                <c:ptCount val="3"/>
                <c:pt idx="0">
                  <c:v>Electronics</c:v>
                </c:pt>
                <c:pt idx="1">
                  <c:v>Furniture</c:v>
                </c:pt>
                <c:pt idx="2">
                  <c:v>Office Supplies</c:v>
                </c:pt>
              </c:strCache>
            </c:strRef>
          </c:cat>
          <c:val>
            <c:numRef>
              <c:f>Tables!$R$4:$R$7</c:f>
              <c:numCache>
                <c:formatCode>0.00%</c:formatCode>
                <c:ptCount val="3"/>
                <c:pt idx="0">
                  <c:v>0.33409180070615935</c:v>
                </c:pt>
                <c:pt idx="1">
                  <c:v>0.34845037269517465</c:v>
                </c:pt>
                <c:pt idx="2">
                  <c:v>0.3174578265986665</c:v>
                </c:pt>
              </c:numCache>
            </c:numRef>
          </c:val>
          <c:extLst>
            <c:ext xmlns:c16="http://schemas.microsoft.com/office/drawing/2014/chart" uri="{C3380CC4-5D6E-409C-BE32-E72D297353CC}">
              <c16:uniqueId val="{00000044-B92F-482E-A24E-8F3008F0E69A}"/>
            </c:ext>
          </c:extLst>
        </c:ser>
        <c:dLbls>
          <c:dLblPos val="inEnd"/>
          <c:showLegendKey val="0"/>
          <c:showVal val="1"/>
          <c:showCatName val="0"/>
          <c:showSerName val="0"/>
          <c:showPercent val="0"/>
          <c:showBubbleSize val="0"/>
          <c:showLeaderLines val="1"/>
        </c:dLbls>
        <c:firstSliceAng val="0"/>
      </c:pieChart>
    </c:plotArea>
    <c:legend>
      <c:legendPos val="b"/>
      <c:overlay val="0"/>
      <c:spPr>
        <a:noFill/>
        <a:ln>
          <a:noFill/>
        </a:ln>
        <a:effectLst/>
      </c:spPr>
      <c:txPr>
        <a:bodyPr rot="0" vert="horz"/>
        <a:lstStyle/>
        <a:p>
          <a:pPr>
            <a:defRPr>
              <a:ln>
                <a:noFill/>
              </a:ln>
              <a:solidFill>
                <a:srgbClr val="0F2854"/>
              </a:solidFill>
            </a:defRPr>
          </a:pPr>
          <a:endParaRPr lang="en-US"/>
        </a:p>
      </c:txPr>
    </c:legend>
    <c:plotVisOnly val="1"/>
    <c:dispBlanksAs val="gap"/>
    <c:showDLblsOverMax val="0"/>
    <c:extLst/>
  </c:chart>
  <c:spPr>
    <a:noFill/>
    <a:ln>
      <a:noFill/>
    </a:ln>
  </c:spPr>
  <c:txPr>
    <a:bodyPr/>
    <a:lstStyle/>
    <a:p>
      <a:pPr>
        <a:defRPr lang="en-US" sz="1600" b="1" i="0" u="none" strike="noStrike" kern="1200" baseline="0">
          <a:solidFill>
            <a:schemeClr val="bg1"/>
          </a:solidFill>
          <a:latin typeface="Bahnschrift SemiBold"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[Power.xlsx]Tables!PivotTable4</c:name>
    <c:fmtId val="17"/>
  </c:pivotSource>
  <c:chart>
    <c:title>
      <c:tx>
        <c:rich>
          <a:bodyPr rot="0" spcFirstLastPara="1" vertOverflow="ellipsis" vert="horz" wrap="square" anchor="ctr" anchorCtr="1"/>
          <a:lstStyle/>
          <a:p>
            <a:pPr algn="ctr" rtl="0">
              <a:defRPr lang="en-US" sz="2800" b="1" i="0" u="none" strike="noStrike" kern="1200" spc="0" baseline="0">
                <a:solidFill>
                  <a:srgbClr val="0F2854"/>
                </a:solidFill>
                <a:latin typeface="Bahnschrift SemiBold" panose="020B0502040204020203" pitchFamily="34" charset="0"/>
                <a:ea typeface="+mn-ea"/>
                <a:cs typeface="+mn-cs"/>
              </a:defRPr>
            </a:pPr>
            <a:r>
              <a:rPr lang="en-US" sz="2800"/>
              <a:t>Top 5 Cities</a:t>
            </a:r>
          </a:p>
        </c:rich>
      </c:tx>
      <c:overlay val="0"/>
      <c:spPr>
        <a:noFill/>
        <a:ln>
          <a:noFill/>
        </a:ln>
        <a:effectLst/>
      </c:spPr>
      <c:txPr>
        <a:bodyPr rot="0" spcFirstLastPara="1" vertOverflow="ellipsis" vert="horz" wrap="square" anchor="ctr" anchorCtr="1"/>
        <a:lstStyle/>
        <a:p>
          <a:pPr algn="ctr" rtl="0">
            <a:defRPr lang="en-US" sz="2800" b="1" i="0" u="none" strike="noStrike" kern="1200" spc="0" baseline="0">
              <a:solidFill>
                <a:srgbClr val="0F2854"/>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2854"/>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600" b="1" i="0" u="none" strike="noStrike" kern="1200" baseline="0">
                  <a:solidFill>
                    <a:srgbClr val="0F2854"/>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2854"/>
          </a:solidFill>
          <a:ln>
            <a:noFill/>
          </a:ln>
          <a:effectLst/>
        </c:spPr>
      </c:pivotFmt>
    </c:pivotFmts>
    <c:plotArea>
      <c:layout>
        <c:manualLayout>
          <c:layoutTarget val="inner"/>
          <c:xMode val="edge"/>
          <c:yMode val="edge"/>
          <c:x val="0.28790941861753361"/>
          <c:y val="0.12408655339960806"/>
          <c:w val="0.64224929836634925"/>
          <c:h val="0.85154149538407109"/>
        </c:manualLayout>
      </c:layout>
      <c:barChart>
        <c:barDir val="bar"/>
        <c:grouping val="clustered"/>
        <c:varyColors val="0"/>
        <c:ser>
          <c:idx val="0"/>
          <c:order val="0"/>
          <c:tx>
            <c:strRef>
              <c:f>Tables!$O$3</c:f>
              <c:strCache>
                <c:ptCount val="1"/>
                <c:pt idx="0">
                  <c:v>Total</c:v>
                </c:pt>
              </c:strCache>
            </c:strRef>
          </c:tx>
          <c:spPr>
            <a:solidFill>
              <a:srgbClr val="0F2854"/>
            </a:solidFill>
            <a:ln>
              <a:noFill/>
            </a:ln>
            <a:effectLst/>
          </c:spPr>
          <c:invertIfNegative val="0"/>
          <c:dLbls>
            <c:spPr>
              <a:noFill/>
              <a:ln>
                <a:noFill/>
              </a:ln>
              <a:effectLst/>
            </c:spPr>
            <c:txPr>
              <a:bodyPr rot="0" spcFirstLastPara="1" vertOverflow="ellipsis" vert="horz" wrap="square" anchor="ctr" anchorCtr="1"/>
              <a:lstStyle/>
              <a:p>
                <a:pPr algn="ctr">
                  <a:defRPr lang="en-US" sz="1600" b="1" i="0" u="none" strike="noStrike" kern="1200" baseline="0">
                    <a:solidFill>
                      <a:srgbClr val="0F2854"/>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Tables!$N$4:$N$9</c:f>
              <c:strCache>
                <c:ptCount val="5"/>
                <c:pt idx="0">
                  <c:v>Miami</c:v>
                </c:pt>
                <c:pt idx="1">
                  <c:v>Rochester</c:v>
                </c:pt>
                <c:pt idx="2">
                  <c:v>Buffalo</c:v>
                </c:pt>
                <c:pt idx="3">
                  <c:v>San Francisco</c:v>
                </c:pt>
                <c:pt idx="4">
                  <c:v>Orlando</c:v>
                </c:pt>
              </c:strCache>
            </c:strRef>
          </c:cat>
          <c:val>
            <c:numRef>
              <c:f>Tables!$O$4:$O$9</c:f>
              <c:numCache>
                <c:formatCode>#,##0.00,"K"</c:formatCode>
                <c:ptCount val="5"/>
                <c:pt idx="0">
                  <c:v>370881</c:v>
                </c:pt>
                <c:pt idx="1">
                  <c:v>407291</c:v>
                </c:pt>
                <c:pt idx="2">
                  <c:v>418514</c:v>
                </c:pt>
                <c:pt idx="3">
                  <c:v>440000</c:v>
                </c:pt>
                <c:pt idx="4">
                  <c:v>452158</c:v>
                </c:pt>
              </c:numCache>
            </c:numRef>
          </c:val>
          <c:extLst>
            <c:ext xmlns:c16="http://schemas.microsoft.com/office/drawing/2014/chart" uri="{C3380CC4-5D6E-409C-BE32-E72D297353CC}">
              <c16:uniqueId val="{00000000-83C5-45DA-9BAE-E70CD37D9DA2}"/>
            </c:ext>
          </c:extLst>
        </c:ser>
        <c:dLbls>
          <c:dLblPos val="outEnd"/>
          <c:showLegendKey val="0"/>
          <c:showVal val="1"/>
          <c:showCatName val="0"/>
          <c:showSerName val="0"/>
          <c:showPercent val="0"/>
          <c:showBubbleSize val="0"/>
        </c:dLbls>
        <c:gapWidth val="127"/>
        <c:axId val="2029139728"/>
        <c:axId val="2029141648"/>
      </c:barChart>
      <c:catAx>
        <c:axId val="2029139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rgbClr val="0F2854"/>
                </a:solidFill>
                <a:latin typeface="Bahnschrift SemiBold" panose="020B0502040204020203" pitchFamily="34" charset="0"/>
                <a:ea typeface="+mn-ea"/>
                <a:cs typeface="+mn-cs"/>
              </a:defRPr>
            </a:pPr>
            <a:endParaRPr lang="en-US"/>
          </a:p>
        </c:txPr>
        <c:crossAx val="2029141648"/>
        <c:crosses val="autoZero"/>
        <c:auto val="1"/>
        <c:lblAlgn val="ctr"/>
        <c:lblOffset val="100"/>
        <c:noMultiLvlLbl val="0"/>
      </c:catAx>
      <c:valAx>
        <c:axId val="2029141648"/>
        <c:scaling>
          <c:orientation val="minMax"/>
        </c:scaling>
        <c:delete val="1"/>
        <c:axPos val="b"/>
        <c:numFmt formatCode="#,##0.00,&quot;K&quot;" sourceLinked="1"/>
        <c:majorTickMark val="out"/>
        <c:minorTickMark val="none"/>
        <c:tickLblPos val="nextTo"/>
        <c:crossAx val="202913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600" b="1" i="0" u="none" strike="noStrike" kern="1200" baseline="0">
          <a:solidFill>
            <a:srgbClr val="0F2854"/>
          </a:solidFill>
          <a:latin typeface="Bahnschrift SemiBold"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[Power.xlsx]Tables!Sales by Year</c:name>
    <c:fmtId val="6"/>
  </c:pivotSource>
  <c:chart>
    <c:title>
      <c:tx>
        <c:rich>
          <a:bodyPr rot="0" spcFirstLastPara="1" vertOverflow="ellipsis" vert="horz" wrap="square" anchor="ctr" anchorCtr="1"/>
          <a:lstStyle/>
          <a:p>
            <a:pPr>
              <a:defRPr sz="2800" b="1" i="0" u="none" strike="noStrike" kern="1200" spc="0" baseline="0">
                <a:solidFill>
                  <a:srgbClr val="0F2854"/>
                </a:solidFill>
                <a:latin typeface="Bahnschrift SemiBold" panose="020B0502040204020203" pitchFamily="34" charset="0"/>
                <a:ea typeface="+mn-ea"/>
                <a:cs typeface="+mn-cs"/>
              </a:defRPr>
            </a:pPr>
            <a:r>
              <a:rPr lang="en-US" sz="2800">
                <a:solidFill>
                  <a:srgbClr val="0F2854"/>
                </a:solidFill>
              </a:rPr>
              <a:t>Sales by Year</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0F2854"/>
              </a:solidFill>
              <a:latin typeface="Bahnschrift SemiBold" panose="020B0502040204020203"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7150" cap="rnd">
            <a:solidFill>
              <a:srgbClr val="0F2854"/>
            </a:solidFill>
            <a:round/>
            <a:headEnd type="none" w="med" len="med"/>
            <a:tailEnd type="triangle" w="med" len="med"/>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Bahnschrift SemiBol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Tables!$L$3</c:f>
              <c:strCache>
                <c:ptCount val="1"/>
                <c:pt idx="0">
                  <c:v>Total</c:v>
                </c:pt>
              </c:strCache>
            </c:strRef>
          </c:tx>
          <c:spPr>
            <a:ln w="57150" cap="rnd">
              <a:solidFill>
                <a:srgbClr val="0F2854"/>
              </a:solidFill>
              <a:round/>
              <a:headEnd type="none" w="med" len="med"/>
              <a:tailEnd type="triangle" w="med" len="med"/>
            </a:ln>
            <a:effectLst/>
          </c:spPr>
          <c:marker>
            <c:symbol val="none"/>
          </c:marker>
          <c:cat>
            <c:strRef>
              <c:f>Tables!$K$4:$K$10</c:f>
              <c:strCache>
                <c:ptCount val="6"/>
                <c:pt idx="0">
                  <c:v>2020</c:v>
                </c:pt>
                <c:pt idx="1">
                  <c:v>2021</c:v>
                </c:pt>
                <c:pt idx="2">
                  <c:v>2022</c:v>
                </c:pt>
                <c:pt idx="3">
                  <c:v>2023</c:v>
                </c:pt>
                <c:pt idx="4">
                  <c:v>2024</c:v>
                </c:pt>
                <c:pt idx="5">
                  <c:v>2025</c:v>
                </c:pt>
              </c:strCache>
            </c:strRef>
          </c:cat>
          <c:val>
            <c:numRef>
              <c:f>Tables!$L$4:$L$10</c:f>
              <c:numCache>
                <c:formatCode>#,##0.00,,"M"</c:formatCode>
                <c:ptCount val="6"/>
                <c:pt idx="0">
                  <c:v>859401</c:v>
                </c:pt>
                <c:pt idx="1">
                  <c:v>1181446</c:v>
                </c:pt>
                <c:pt idx="2">
                  <c:v>1459775</c:v>
                </c:pt>
                <c:pt idx="3">
                  <c:v>1229723</c:v>
                </c:pt>
                <c:pt idx="4">
                  <c:v>1202478</c:v>
                </c:pt>
                <c:pt idx="5">
                  <c:v>249816</c:v>
                </c:pt>
              </c:numCache>
            </c:numRef>
          </c:val>
          <c:smooth val="0"/>
          <c:extLst>
            <c:ext xmlns:c16="http://schemas.microsoft.com/office/drawing/2014/chart" uri="{C3380CC4-5D6E-409C-BE32-E72D297353CC}">
              <c16:uniqueId val="{00000000-1C7A-494A-971F-3562BBB4A150}"/>
            </c:ext>
          </c:extLst>
        </c:ser>
        <c:dLbls>
          <c:showLegendKey val="0"/>
          <c:showVal val="0"/>
          <c:showCatName val="0"/>
          <c:showSerName val="0"/>
          <c:showPercent val="0"/>
          <c:showBubbleSize val="0"/>
        </c:dLbls>
        <c:smooth val="0"/>
        <c:axId val="1729311264"/>
        <c:axId val="1729320384"/>
      </c:lineChart>
      <c:catAx>
        <c:axId val="17293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0F2854"/>
                </a:solidFill>
                <a:latin typeface="Bahnschrift SemiBold" panose="020B0502040204020203" pitchFamily="34" charset="0"/>
                <a:ea typeface="+mn-ea"/>
                <a:cs typeface="+mn-cs"/>
              </a:defRPr>
            </a:pPr>
            <a:endParaRPr lang="en-US"/>
          </a:p>
        </c:txPr>
        <c:crossAx val="1729320384"/>
        <c:crosses val="autoZero"/>
        <c:auto val="1"/>
        <c:lblAlgn val="ctr"/>
        <c:lblOffset val="100"/>
        <c:noMultiLvlLbl val="0"/>
      </c:catAx>
      <c:valAx>
        <c:axId val="1729320384"/>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lgn="ctr">
              <a:defRPr sz="1600" b="1" i="0" u="none" strike="noStrike" kern="1200" baseline="0">
                <a:solidFill>
                  <a:srgbClr val="0F2854"/>
                </a:solidFill>
                <a:latin typeface="Bahnschrift SemiBold" panose="020B0502040204020203" pitchFamily="34" charset="0"/>
                <a:ea typeface="+mn-ea"/>
                <a:cs typeface="+mn-cs"/>
              </a:defRPr>
            </a:pPr>
            <a:endParaRPr lang="en-US"/>
          </a:p>
        </c:txPr>
        <c:crossAx val="172931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chemeClr val="bg1"/>
          </a:solidFill>
          <a:latin typeface="Bahnschrift SemiBol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[Power.xlsx]Tables!PivotTable1</c:name>
    <c:fmtId val="4"/>
  </c:pivotSource>
  <c:chart>
    <c:title>
      <c:tx>
        <c:rich>
          <a:bodyPr rot="0" spcFirstLastPara="1" vertOverflow="ellipsis" vert="horz" wrap="square" anchor="ctr" anchorCtr="1"/>
          <a:lstStyle/>
          <a:p>
            <a:pPr algn="ctr" rtl="0">
              <a:defRPr lang="en-US" sz="2800" b="1" i="0" u="none" strike="noStrike" kern="1200" spc="0" baseline="0">
                <a:solidFill>
                  <a:srgbClr val="0F2854"/>
                </a:solidFill>
                <a:latin typeface="Bahnschrift SemiBold" panose="020B0502040204020203" pitchFamily="34" charset="0"/>
                <a:ea typeface="+mn-ea"/>
                <a:cs typeface="+mn-cs"/>
              </a:defRPr>
            </a:pPr>
            <a:r>
              <a:rPr lang="en-US" sz="2800">
                <a:solidFill>
                  <a:srgbClr val="0F2854"/>
                </a:solidFill>
              </a:rPr>
              <a:t>Total sales</a:t>
            </a:r>
          </a:p>
        </c:rich>
      </c:tx>
      <c:overlay val="0"/>
      <c:spPr>
        <a:noFill/>
        <a:ln>
          <a:noFill/>
        </a:ln>
        <a:effectLst/>
      </c:spPr>
      <c:txPr>
        <a:bodyPr rot="0" spcFirstLastPara="1" vertOverflow="ellipsis" vert="horz" wrap="square" anchor="ctr" anchorCtr="1"/>
        <a:lstStyle/>
        <a:p>
          <a:pPr algn="ctr" rtl="0">
            <a:defRPr lang="en-US" sz="2800" b="1" i="0" u="none" strike="noStrike" kern="1200" spc="0" baseline="0">
              <a:solidFill>
                <a:srgbClr val="0F2854"/>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F2854"/>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chemeClr val="bg1"/>
                  </a:solidFill>
                  <a:latin typeface="Bahnschrift SemiBol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2845D6"/>
            </a:solidFill>
            <a:round/>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chemeClr val="bg1"/>
                  </a:solidFill>
                  <a:latin typeface="Bahnschrift SemiBold"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Tables!$AD$3</c:f>
              <c:strCache>
                <c:ptCount val="1"/>
                <c:pt idx="0">
                  <c:v>Total Sales</c:v>
                </c:pt>
              </c:strCache>
            </c:strRef>
          </c:tx>
          <c:spPr>
            <a:solidFill>
              <a:srgbClr val="0F2854"/>
            </a:solidFill>
            <a:ln>
              <a:noFill/>
            </a:ln>
            <a:effectLst/>
          </c:spPr>
          <c:invertIfNegative val="0"/>
          <c:cat>
            <c:strRef>
              <c:f>Tables!$AC$4:$AC$10</c:f>
              <c:strCache>
                <c:ptCount val="6"/>
                <c:pt idx="0">
                  <c:v>2020</c:v>
                </c:pt>
                <c:pt idx="1">
                  <c:v>2021</c:v>
                </c:pt>
                <c:pt idx="2">
                  <c:v>2022</c:v>
                </c:pt>
                <c:pt idx="3">
                  <c:v>2023</c:v>
                </c:pt>
                <c:pt idx="4">
                  <c:v>2024</c:v>
                </c:pt>
                <c:pt idx="5">
                  <c:v>2025</c:v>
                </c:pt>
              </c:strCache>
            </c:strRef>
          </c:cat>
          <c:val>
            <c:numRef>
              <c:f>Tables!$AD$4:$AD$10</c:f>
              <c:numCache>
                <c:formatCode>#,##0</c:formatCode>
                <c:ptCount val="6"/>
                <c:pt idx="0">
                  <c:v>859401</c:v>
                </c:pt>
                <c:pt idx="1">
                  <c:v>1181446</c:v>
                </c:pt>
                <c:pt idx="2">
                  <c:v>1459775</c:v>
                </c:pt>
                <c:pt idx="3">
                  <c:v>1229723</c:v>
                </c:pt>
                <c:pt idx="4">
                  <c:v>1202478</c:v>
                </c:pt>
                <c:pt idx="5">
                  <c:v>249816</c:v>
                </c:pt>
              </c:numCache>
            </c:numRef>
          </c:val>
          <c:extLst>
            <c:ext xmlns:c16="http://schemas.microsoft.com/office/drawing/2014/chart" uri="{C3380CC4-5D6E-409C-BE32-E72D297353CC}">
              <c16:uniqueId val="{00000000-AF46-4DBB-AAE8-9464A49FD31E}"/>
            </c:ext>
          </c:extLst>
        </c:ser>
        <c:dLbls>
          <c:showLegendKey val="0"/>
          <c:showVal val="0"/>
          <c:showCatName val="0"/>
          <c:showSerName val="0"/>
          <c:showPercent val="0"/>
          <c:showBubbleSize val="0"/>
        </c:dLbls>
        <c:gapWidth val="219"/>
        <c:overlap val="-27"/>
        <c:axId val="1770936496"/>
        <c:axId val="1770932656"/>
      </c:barChart>
      <c:lineChart>
        <c:grouping val="standard"/>
        <c:varyColors val="0"/>
        <c:ser>
          <c:idx val="1"/>
          <c:order val="1"/>
          <c:tx>
            <c:strRef>
              <c:f>Tables!$AE$3</c:f>
              <c:strCache>
                <c:ptCount val="1"/>
                <c:pt idx="0">
                  <c:v>Sales Growth %</c:v>
                </c:pt>
              </c:strCache>
            </c:strRef>
          </c:tx>
          <c:spPr>
            <a:ln w="28575" cap="rnd">
              <a:solidFill>
                <a:srgbClr val="2845D6"/>
              </a:solidFill>
              <a:round/>
            </a:ln>
            <a:effectLst/>
          </c:spPr>
          <c:marker>
            <c:symbol val="none"/>
          </c:marker>
          <c:cat>
            <c:strRef>
              <c:f>Tables!$AC$4:$AC$10</c:f>
              <c:strCache>
                <c:ptCount val="6"/>
                <c:pt idx="0">
                  <c:v>2020</c:v>
                </c:pt>
                <c:pt idx="1">
                  <c:v>2021</c:v>
                </c:pt>
                <c:pt idx="2">
                  <c:v>2022</c:v>
                </c:pt>
                <c:pt idx="3">
                  <c:v>2023</c:v>
                </c:pt>
                <c:pt idx="4">
                  <c:v>2024</c:v>
                </c:pt>
                <c:pt idx="5">
                  <c:v>2025</c:v>
                </c:pt>
              </c:strCache>
            </c:strRef>
          </c:cat>
          <c:val>
            <c:numRef>
              <c:f>Tables!$AE$4:$AE$10</c:f>
              <c:numCache>
                <c:formatCode>0.00%</c:formatCode>
                <c:ptCount val="6"/>
                <c:pt idx="0">
                  <c:v>0</c:v>
                </c:pt>
                <c:pt idx="1">
                  <c:v>0.37473193538290039</c:v>
                </c:pt>
                <c:pt idx="2">
                  <c:v>0.23558334447786863</c:v>
                </c:pt>
                <c:pt idx="3">
                  <c:v>-0.15759414978335703</c:v>
                </c:pt>
                <c:pt idx="4">
                  <c:v>-2.2155395971287843E-2</c:v>
                </c:pt>
                <c:pt idx="5">
                  <c:v>-0.79224900580301683</c:v>
                </c:pt>
              </c:numCache>
            </c:numRef>
          </c:val>
          <c:smooth val="0"/>
          <c:extLst>
            <c:ext xmlns:c16="http://schemas.microsoft.com/office/drawing/2014/chart" uri="{C3380CC4-5D6E-409C-BE32-E72D297353CC}">
              <c16:uniqueId val="{00000001-AF46-4DBB-AAE8-9464A49FD31E}"/>
            </c:ext>
          </c:extLst>
        </c:ser>
        <c:dLbls>
          <c:showLegendKey val="0"/>
          <c:showVal val="0"/>
          <c:showCatName val="0"/>
          <c:showSerName val="0"/>
          <c:showPercent val="0"/>
          <c:showBubbleSize val="0"/>
        </c:dLbls>
        <c:marker val="1"/>
        <c:smooth val="0"/>
        <c:axId val="1770929776"/>
        <c:axId val="1770915376"/>
      </c:lineChart>
      <c:catAx>
        <c:axId val="17709364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rgbClr val="0F2854"/>
                </a:solidFill>
                <a:latin typeface="Bahnschrift SemiBold" panose="020B0502040204020203" pitchFamily="34" charset="0"/>
                <a:ea typeface="+mn-ea"/>
                <a:cs typeface="+mn-cs"/>
              </a:defRPr>
            </a:pPr>
            <a:endParaRPr lang="en-US"/>
          </a:p>
        </c:txPr>
        <c:crossAx val="1770932656"/>
        <c:crosses val="autoZero"/>
        <c:auto val="1"/>
        <c:lblAlgn val="ctr"/>
        <c:lblOffset val="100"/>
        <c:noMultiLvlLbl val="0"/>
      </c:catAx>
      <c:valAx>
        <c:axId val="1770932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600" b="1" i="0" u="none" strike="noStrike" kern="1200" baseline="0">
                <a:solidFill>
                  <a:srgbClr val="0F2854"/>
                </a:solidFill>
                <a:latin typeface="Bahnschrift SemiBold" panose="020B0502040204020203" pitchFamily="34" charset="0"/>
                <a:ea typeface="+mn-ea"/>
                <a:cs typeface="+mn-cs"/>
              </a:defRPr>
            </a:pPr>
            <a:endParaRPr lang="en-US"/>
          </a:p>
        </c:txPr>
        <c:crossAx val="1770936496"/>
        <c:crosses val="autoZero"/>
        <c:crossBetween val="between"/>
      </c:valAx>
      <c:valAx>
        <c:axId val="177091537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600" b="1" i="0" u="none" strike="noStrike" kern="1200" baseline="0">
                <a:solidFill>
                  <a:srgbClr val="0F2854"/>
                </a:solidFill>
                <a:latin typeface="Bahnschrift SemiBold" panose="020B0502040204020203" pitchFamily="34" charset="0"/>
                <a:ea typeface="+mn-ea"/>
                <a:cs typeface="+mn-cs"/>
              </a:defRPr>
            </a:pPr>
            <a:endParaRPr lang="en-US"/>
          </a:p>
        </c:txPr>
        <c:crossAx val="1770929776"/>
        <c:crosses val="max"/>
        <c:crossBetween val="between"/>
      </c:valAx>
      <c:catAx>
        <c:axId val="1770929776"/>
        <c:scaling>
          <c:orientation val="minMax"/>
        </c:scaling>
        <c:delete val="1"/>
        <c:axPos val="b"/>
        <c:numFmt formatCode="General" sourceLinked="1"/>
        <c:majorTickMark val="out"/>
        <c:minorTickMark val="none"/>
        <c:tickLblPos val="nextTo"/>
        <c:crossAx val="17709153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600" b="1" i="0" u="none" strike="noStrike" kern="1200" baseline="0">
          <a:solidFill>
            <a:schemeClr val="bg1"/>
          </a:solidFill>
          <a:latin typeface="Bahnschrift SemiBold"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[Power.xlsx]Tables!Total Sales per City</c:name>
    <c:fmtId val="24"/>
  </c:pivotSource>
  <c:chart>
    <c:title>
      <c:tx>
        <c:rich>
          <a:bodyPr rot="0" spcFirstLastPara="1" vertOverflow="ellipsis" vert="horz" wrap="square" anchor="ctr" anchorCtr="1"/>
          <a:lstStyle/>
          <a:p>
            <a:pPr algn="ctr" rtl="0">
              <a:defRPr lang="en-US" sz="2800" b="1" i="0" u="none" strike="noStrike" kern="1200" spc="0" baseline="0">
                <a:solidFill>
                  <a:srgbClr val="0F2854"/>
                </a:solidFill>
                <a:latin typeface="Bahnschrift SemiBold" panose="020B0502040204020203" pitchFamily="34" charset="0"/>
                <a:ea typeface="+mn-ea"/>
                <a:cs typeface="+mn-cs"/>
              </a:defRPr>
            </a:pPr>
            <a:r>
              <a:rPr lang="en-US" sz="2800"/>
              <a:t>Total Sales per State &amp; City</a:t>
            </a:r>
          </a:p>
        </c:rich>
      </c:tx>
      <c:layout>
        <c:manualLayout>
          <c:xMode val="edge"/>
          <c:yMode val="edge"/>
          <c:x val="0.21138294036013883"/>
          <c:y val="1.1440457149857827E-2"/>
        </c:manualLayout>
      </c:layout>
      <c:overlay val="0"/>
      <c:spPr>
        <a:noFill/>
        <a:ln>
          <a:noFill/>
        </a:ln>
        <a:effectLst/>
      </c:spPr>
      <c:txPr>
        <a:bodyPr rot="0" spcFirstLastPara="1" vertOverflow="ellipsis" vert="horz" wrap="square" anchor="ctr" anchorCtr="1"/>
        <a:lstStyle/>
        <a:p>
          <a:pPr algn="ctr" rtl="0">
            <a:defRPr lang="en-US" sz="2800" b="1" i="0" u="none" strike="noStrike" kern="1200" spc="0" baseline="0">
              <a:solidFill>
                <a:srgbClr val="0F2854"/>
              </a:solidFill>
              <a:latin typeface="Bahnschrift SemiBold" panose="020B0502040204020203"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2854"/>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rgbClr val="0F2854"/>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0792629568038"/>
          <c:y val="0.10163402209735799"/>
          <c:w val="0.73306264913159713"/>
          <c:h val="0.84270545819521669"/>
        </c:manualLayout>
      </c:layout>
      <c:barChart>
        <c:barDir val="bar"/>
        <c:grouping val="clustered"/>
        <c:varyColors val="0"/>
        <c:ser>
          <c:idx val="0"/>
          <c:order val="0"/>
          <c:tx>
            <c:strRef>
              <c:f>Tables!$I$3</c:f>
              <c:strCache>
                <c:ptCount val="1"/>
                <c:pt idx="0">
                  <c:v>Total</c:v>
                </c:pt>
              </c:strCache>
            </c:strRef>
          </c:tx>
          <c:spPr>
            <a:solidFill>
              <a:srgbClr val="0F2854"/>
            </a:solidFill>
            <a:ln>
              <a:noFill/>
            </a:ln>
            <a:effectLst/>
          </c:spPr>
          <c:invertIfNegative val="0"/>
          <c:dLbls>
            <c:spPr>
              <a:noFill/>
              <a:ln>
                <a:noFill/>
              </a:ln>
              <a:effectLst/>
            </c:spPr>
            <c:txPr>
              <a:bodyPr rot="0" spcFirstLastPara="1" vertOverflow="ellipsis" vert="horz" wrap="square" anchor="ctr" anchorCtr="1"/>
              <a:lstStyle/>
              <a:p>
                <a:pPr>
                  <a:defRPr lang="en-US" sz="1600" b="1" i="0" u="none" strike="noStrike" kern="1200" baseline="0">
                    <a:solidFill>
                      <a:srgbClr val="0F2854"/>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Tables!$H$4:$H$10</c:f>
              <c:strCache>
                <c:ptCount val="6"/>
                <c:pt idx="0">
                  <c:v>Ohio</c:v>
                </c:pt>
                <c:pt idx="1">
                  <c:v>Illinois</c:v>
                </c:pt>
                <c:pt idx="2">
                  <c:v>Texas</c:v>
                </c:pt>
                <c:pt idx="3">
                  <c:v>California</c:v>
                </c:pt>
                <c:pt idx="4">
                  <c:v>Florida</c:v>
                </c:pt>
                <c:pt idx="5">
                  <c:v>New York</c:v>
                </c:pt>
              </c:strCache>
            </c:strRef>
          </c:cat>
          <c:val>
            <c:numRef>
              <c:f>Tables!$I$4:$I$10</c:f>
              <c:numCache>
                <c:formatCode>#,##0.00,,"M"</c:formatCode>
                <c:ptCount val="6"/>
                <c:pt idx="0">
                  <c:v>884768</c:v>
                </c:pt>
                <c:pt idx="1">
                  <c:v>978738</c:v>
                </c:pt>
                <c:pt idx="2">
                  <c:v>1011475</c:v>
                </c:pt>
                <c:pt idx="3">
                  <c:v>1086436</c:v>
                </c:pt>
                <c:pt idx="4">
                  <c:v>1091174</c:v>
                </c:pt>
                <c:pt idx="5">
                  <c:v>1130048</c:v>
                </c:pt>
              </c:numCache>
            </c:numRef>
          </c:val>
          <c:extLst>
            <c:ext xmlns:c16="http://schemas.microsoft.com/office/drawing/2014/chart" uri="{C3380CC4-5D6E-409C-BE32-E72D297353CC}">
              <c16:uniqueId val="{00000000-912C-4FB5-9715-69B73DFC500A}"/>
            </c:ext>
          </c:extLst>
        </c:ser>
        <c:dLbls>
          <c:dLblPos val="outEnd"/>
          <c:showLegendKey val="0"/>
          <c:showVal val="1"/>
          <c:showCatName val="0"/>
          <c:showSerName val="0"/>
          <c:showPercent val="0"/>
          <c:showBubbleSize val="0"/>
        </c:dLbls>
        <c:gapWidth val="219"/>
        <c:axId val="1783850975"/>
        <c:axId val="1783845695"/>
      </c:barChart>
      <c:catAx>
        <c:axId val="17838509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rgbClr val="0F2854"/>
                </a:solidFill>
                <a:latin typeface="Bahnschrift SemiBold" panose="020B0502040204020203" pitchFamily="34" charset="0"/>
                <a:ea typeface="+mn-ea"/>
                <a:cs typeface="+mn-cs"/>
              </a:defRPr>
            </a:pPr>
            <a:endParaRPr lang="en-US"/>
          </a:p>
        </c:txPr>
        <c:crossAx val="1783845695"/>
        <c:crosses val="autoZero"/>
        <c:auto val="1"/>
        <c:lblAlgn val="ctr"/>
        <c:lblOffset val="100"/>
        <c:noMultiLvlLbl val="0"/>
      </c:catAx>
      <c:valAx>
        <c:axId val="1783845695"/>
        <c:scaling>
          <c:orientation val="minMax"/>
        </c:scaling>
        <c:delete val="1"/>
        <c:axPos val="b"/>
        <c:numFmt formatCode="#,##0.00,,&quot;M&quot;" sourceLinked="1"/>
        <c:majorTickMark val="out"/>
        <c:minorTickMark val="none"/>
        <c:tickLblPos val="nextTo"/>
        <c:crossAx val="178385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600" b="1" i="0" u="none" strike="noStrike" kern="1200" baseline="0">
          <a:solidFill>
            <a:srgbClr val="0F2854"/>
          </a:solidFill>
          <a:latin typeface="Bahnschrift SemiBold"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_xlchart.v5.28</cx:f>
        <cx:nf>_xlchart.v5.26</cx:nf>
      </cx:strDim>
      <cx:numDim type="colorVal">
        <cx:f>_xlchart.v5.34</cx:f>
        <cx:nf>_xlchart.v5.31</cx:nf>
      </cx:numDim>
    </cx:data>
  </cx:chartData>
  <cx:chart>
    <cx:title pos="t" align="ctr" overlay="0">
      <cx:tx>
        <cx:txData>
          <cx:v>Sales Growth per State </cx:v>
        </cx:txData>
      </cx:tx>
      <cx:txPr>
        <a:bodyPr spcFirstLastPara="1" vertOverflow="ellipsis" horzOverflow="overflow" wrap="square" lIns="0" tIns="0" rIns="0" bIns="0" anchor="ctr" anchorCtr="1"/>
        <a:lstStyle/>
        <a:p>
          <a:pPr algn="ctr" rtl="0">
            <a:defRPr sz="2800">
              <a:solidFill>
                <a:srgbClr val="0F2854"/>
              </a:solidFill>
            </a:defRPr>
          </a:pPr>
          <a:r>
            <a:rPr lang="en-US" sz="2800" b="1" i="0" u="none" strike="noStrike" baseline="0">
              <a:solidFill>
                <a:srgbClr val="0F2854"/>
              </a:solidFill>
              <a:latin typeface="Calibri" panose="020F0502020204030204"/>
            </a:rPr>
            <a:t>Sales Growth per State </a:t>
          </a:r>
        </a:p>
      </cx:txPr>
    </cx:title>
    <cx:plotArea>
      <cx:plotAreaRegion>
        <cx:plotSurface>
          <cx:spPr>
            <a:ln cap="rnd">
              <a:noFill/>
            </a:ln>
          </cx:spPr>
        </cx:plotSurface>
        <cx:series layoutId="regionMap" uniqueId="{B4350552-BB77-4BCA-9DB9-63ED22FFCFD7}">
          <cx:tx>
            <cx:txData>
              <cx:f>_xlchart.v5.31</cx:f>
              <cx:v>Sales Growth %</cx:v>
            </cx:txData>
          </cx:tx>
          <cx:dataId val="0"/>
          <cx:layoutPr>
            <cx:geography cultureLanguage="en-US" cultureRegion="US" attribution="Powered by Bing">
              <cx:geoCache provider="{E9337A44-BEBE-4D9F-B70C-5C5E7DAFC167}">
                <cx:binary>1Htpb9w41u5fCfL5Ki3u5GB6gCupqly2E69ZvwhObEvUQkoitVC//j3VSadjxxPPvHdwgQnQ6VRp
IXnW5zzn1N+/LH/70tzdDC+WtjHub1+W31+W3nd/++0396W8a2/cq1Z/Gayz9/7VF9v+Zu/v9Ze7
326Hm1mb4jccI/rbl/Jm8HfLy3/8Hd5W3NlT++XGa2suxrshXN65sfHuF9eevPTi5rbVJtPOD/qL
R7+/TG8afW8Ho29evrgzXvtwHbq7318+uO/li98ev+2nlV80sDk/3sKzRLzCjHKukIr/+INevmis
Kb5djhBSrzgSWCCK1B9//lz7zU0Lz/9re/pjRze3t8Odc3CsP/7/8NkHZ4BL//fliy92NP4gvQIE
+fvLt0b7u9sXV/7G37mXL7Sz6dcbUns4yNurP07+20P5/+Pvj74AWTz65gcVPRbcc5d+0tCbu/nF
RzvUf8ro/10/FL9SRGFKCP6qH/JQP4K94nCFcUS/qof/ufZX/fwrO3paO389+Ug3bz7+V+pm3zTa
WA2m85/yHRq/QpgiSfg32auHupHqFaKSEybZV93A9a9rf9XNv7Kjp3Xz15OPdLM//a/Uzbaxg779
D4Y1LF8xxRji34KWeqwa/IpKQSiW5Ltb/aiaf2FDT2vm+4OPFLP971TMWantn0b7Hwhm8SuKQCtK
xF8dQj5yGPwKrhDQi3hSK8/t5mmVfH3qkT7Ojv4rHeX6brn5D0Ywgl5RTiSVCH0V+KPsr9QrAplH
CYG/K+xHN3l2O09r5Ntjj1Ry/eG/UiW74cbcvri2/qZ5zlP+g8jj1+Doxwz34M5/Fx2qVywmTFDy
l0P+iA7BPuJD/iPqWwakf4rga4Z7hNn++baetpNHjz84yf8nQPjPVfYdVWc3/mbzBxz/AS/++uof
x4Uy4dGjv0ImX2W3v/39JfgqwT8o8vCSB7jiew766Zm7G+d/fxnJ+BW8ImYolpxiJiS4/Xz39ZJ4
xQnmAFgQRodYzF6+MHbwJZQK6FUcI9A0gQ3EGKL0yxfOjodLmL5imHAlZcwFx1yx75XQuW1CYc13
eXz7/MKM7bnVxrvfX0IW6L7edTgeowogEyWHTEHgnzGCw3Zfbi6h2IKb0f8p5iVeZWfHI4zHwqdN
rdo2pbhUp3QkyiWCDea05iMUT6qcZPaDrJ5YHQ744+osxlRiiUA+UjCO8WF3P6ze98WqpnXxu3nE
00aElm+Qxk0WhG4hqXyvvv7VpZRkcSwoBdE9Wmog1YRQy/yOokHvGozmhLiy2xCJ+v/FqUCUinCB
QOkEyoQfT7Wipe4CpX7XLIveLWTts8H7OvWLGPe/PhVAq58ESOBMFCIHBvD76FTL5Me6YSBApXOV
TAFfmGHk98vEs8LkVSosiZI+z+u0i6lNf7042OATiwOAOFgxUuzROf1S5jnpvN9FlvIEVUu5MYj2
gM7+PcUxKPuxkJJyTKR4tIorJHFTn4+7QVE+gG0a5xO29GLaVF1r2mcOJX46FMMIfAsThMFM6OHQ
P5gk6ydMSuTHXRG4T8p6uBME38vCtglq2hOeV13y6wP+LEaGMVZADUgo/GMeP1wxL+tqlsSOuypm
LDW5akBZym5+vcpBTD84OrgarEIBWkiAfZSRgyv+cC465sjUfT3uiJ5CQqLotIjcWUAYp0vcsmfO
9JQUf1ztkdI4jYu+YM24k9OMktzqpJhan3RV3SVWKZ8Mdf351wfEEEh/OqEUkjMiuQKDfBTKQllz
Oc/gdqjk9Ixa2rwr4jHfc7vKo9EWdTb2l2IKMu0b6m65j+Vxx8jRWAx2N41q2owLnpNhFt2XZSHR
PkAtmuDc91frEJJGlEWK6n59JjChJ/RPYkDhiDMp8E8WJ13BsfXgRnoeaZ3QaK5Fsixs2kQRiRPt
UJ920s4ZAeltcLPQT/EqlvMRye6N8CtJi65QZ4Adimd8gT25NYjPBw9n8N8jZ6hUw+uVNX63+HKD
85JleiiXtJfcb1xfuLeLJlUaz1w1mW1Wc7yYajh1eTvVWbv4KZlik9TUVUkfTJwQ1OVZbmScGFyE
k2LEwxvM12i/1rPN+sn7bBasS3s/qHfjrKN3fpJ5qoju04FGYgv4WScTGeRmtMuxrweXzFEzpj5n
KlkadlLS+u04S/empoEkgaz1diCjzubIn1kl1qNeizUJtCHJkjf5aVyG+H009NOuMnWU5izc14Fc
eunrRImiPvK89GfwZrP9tbX+7CCSAdzD4PWQgwHzP3THxRVsZPNB6a58E9VjmWoZ75Fersc17zbj
2KJ/2yVhRQbBmsVMHOLNwxXVsExSrbXfDXm+R45uGlR8UYaeDsTQtFb8w69P+HNul0xAtEFAdyqA
Po/CmivUZEA3fleFpkvwROd9YWeykXgI2a+X+tlMJZMYuDmuVEyAInp4tGJkUzVPFrKgnNiJjXq0
t/MonhHgk6tQLgGmQKEGMny4ShvnUetnEGDEh3hIeqGio7Ev5PmvD4N+jmNwGqgSJaBFYIPZo3Vq
Ha2Id8rtlgXZzCJXbfnSFhl3xiY0dwIgBRh+LEhxPMj3Ay52ltb6ubBE4DgPEwZQaYQjJhEjCNFH
+ut7S1c9CbejSyM2c6+abT5Xfktnr2VK6Er3yCxqM8T2rrGzuKx9Ne8KFk+v23Ulx6y2+TMawE/u
SQgilSQKMOujtFLQKIrykridKUazjwe2UfE4J6vx/ZvcdWNairH72DBw5aaPwtnY6ZByHeNMSWMz
YZq7Bi3Tm1ou2brOn8YqwmmvfXcVzKiTzmt2xIpyPjaheRPF/jlw8fQBFELkQLyA/x90/0MWztGg
2iBnEGoZLotBdNtxpsXbEqJY2vWiynKH4rQV3EPGGtrjUK43UotrN3C1H7s8Txc5TJsyturCrsJe
S7rerSw3x0SWajt3RcjmuoogV/hmO+i+eyYloIPafzKLH07wyDpn38CGbXC7EFXFcb4qc+zZYrIq
ijOvBwjyIw9JVcV7YsOUuo62z1gBedIKlDww8RIj8djdZYBYEtjodlVU+i4ZG8k+A6w6F9SZpFHx
rW2m5b3AqPzihtSPU5FWFpdZTUqTTIXb4tjZbOBUJLNGc5sIPHZpCQvuFlZVKa0KdBcMQhAqxZUg
9YbFlc14pN53shqO0MTi04ih5mi19kZM8RUPsFBB0Zh2s3LsGZn/DN0kh2qQUkAIPIZq6aHRMCxF
nVcQEPqqeW/ynZiqJovWuEzsysgzOPGJsM0BK0LlSQW8OH5UUbim5maAoLPrCnOvtMwha09VQpdV
PbPS4U2PLAlWkgorSrmIHwP7Pi/GTuQMLGkormtEivdVs+ZN0gaoJliomyaJeSSPc47KZ0zoiezL
Y4q5IEBLxwC8H0rUF7rHeRW73SjCx9zL80X0lzHN7xvhP0PJy59JUH9gz5/OyrCSCEPBzR/HdDVF
btEaTBbKcHM5EsA9ISdZMOWUkmm9i/P22upmyYrQAbihUqeTK4YsBrTy6/TypDExTiGzEEHjx2lZ
j35i5QT+O0vrs7gTPKFlXiaRtkXKyur+18s9kTR5DMhRKgS1NxT5DyXNVVUX7biAksOw7IoO5ek6
yvKZGvFJ+SJgMsCSQLxUPkIAlUOFRbRzO6iRh1ROS5lNplIpz2W0nx0B75zomEWhbzZzXrQpsAHN
Zpmik3Xlz8XIn4tyCW1cQMsx+JBkj/11DiNbS1fDZiYfb8pCFFs3rK/DFIq0aFGUdq41u1J4nNh6
jJ9xK/SUBwMaAmEDbpf0sa35YsoxMfGwC4iWnzsxRCyZh8KfOY1Ym8zccp7aEV6QREFFAKh537As
rroaJ20vyjqdozC/nkpS5An2fkQpK5i7/bVlPLFNqTjnEGME4Bz0yDLKSOrADO93fMmH7UjXaUNd
rzaA5fUzInliKQXxU6hYAA0nH3M/ukKu6wfR7/yat/eUBHGxmrIdkojH/4tjAQZlNOYHSu2nqNaZ
bvWdpP2OYT1cKGibbW0Q+Uk1+JtfC/CJIAYrAS0CEFEAqfXI5vGaF5UdYSVN4iLLvemu2qLHG8hu
axIvLU2oLcMz4eNJUUJ9TTn0+yhTj7RWFLHxqmT9LmA0pS1b5kRXLc6GGLtnllLsiUQPSAP6V0IJ
SSBiPQwesqZ2LFYEJkKHuN/yEPyQ6pLOa8ba3DQpHxzOOGDyJu3JNEdbqBzHZbMugrQXrWTgXJoA
x7jPXWje4W5qymwwtRyzrmm4Tnzelzd2ZtHrmkjmtkXZFFXiDNJlYuBIJBXcSpmpic1oO5OYhBMW
lWqnwyDWjaVDWSVFXaJrPuIVZQ1dGN5WqF34hqiuxB/UjHR7xysgS4qkgwqmPFnKgeTZoOuhfOsa
i8K+McCu7UqNWrqJ4g4dt+uyRDs31pN7w1ozytfUjyG/4A41Zgufo3nbzoOrl2SkqjaZqSdavJbC
MJGNjNhqO7K+uZoixfPjwUT2CA21yZNQDHhIVKnftY4TmiwjtdVeFHPRpXK0tt6GWodi03bBDKfV
BOWkTrnq5mbn3KzqbJlYWDI7hTw+aSOXx8A7tB3OupYdwJWWEt8IlwNfInK/pKukdrjqmI7EznpX
hfM5F9OV0XTwmxD1SlzGtpXFZgxTMe4BxC7bXi5Kb6kpeJfQrljX1LlK7cwAKWrT5Af6L46wqpPe
Mfm2KvsmXZrWktTRckJJ1XXsqJXjBfC823Fi3fu8w82HBpj6S2/4nORttRxFoWo2pFdnYxO2pnfb
pRTmMhdAotKy2NSr0TtM6zmrVd1ui3E6JlOYU9y5m6rmNGEjzrOxWsi2JeSWkmjeTCY42MMgdtzN
8UZRzXdUrTYBxLwmlVHFiaPd8ln4fs7oGKrEiOlm7Tk7msiyJtMSEqabd3HMNzzi/TlT7bBBsdHn
NZnXdIw1OpFtU74mM+gDqgWdOJ2/W1bCdixCF1qXXVKGJd/nitbpUtUjgAon0gayROacWC/qZtn3
nvpEr4HBX/VZDezSMtPhuF4WnK1x3W8WPzRJVeZTWou6PZlJmWnQ7Hku6WUblcsGzbLcruuwpiHy
Y5bjgHcrQNfLvGi6T0a6+NSUQmbB9zxbYj/c86g3aeSnLpNAWO+EtWw/NGpNhMmXPYk13rsg5AZI
imOMlq1mHdrWLHxo47H/YHR+JBi90mP4wJbcbOZYAVE35h9aHhUDeGAr99MozHaK+jxbWXRdK5kf
u5zojBdWbuKKRqCHfk1opdashLrhUg/RdN4Xg7x04wJ5kbhTH3KRNMuqkxCZO9fP3ZEkXh9p17ZH
ppXTPXV+TIKeV2C46kn7NaSj7c1KoDTH8VDkG6uVv66tLNcEg/G8b3FMlkz0UEdAMoUgURXj/LED
2b/pZ7CyKuQmkTXax2MRNpH1dsvRKk/gH3azgENscoZZcKcyzMXsPoZyEK5PAs7pXGerw8PHCJFt
XBWySCIMe96JCNsvi1jr7ojUDR6zVg5iSoJFQp5GEfdVUgs5FEkTJhYdAz0bOyBpe300DCCpxNem
yVbZTtclsPrnuKnwdd6aWu/nig8bpnT/Bs1Ybq2e5jVZeiDjSu3izzzOAU8Cv9ttxBo3Jx0k2S/e
yYJvDp2rtJqZJqfL4vgVner8XgG5P6aAAloovvMpztYgl7fQZ2rvh27gJgmtQ5/MIoYMSjR2pgzu
Pmpl5syVLuw8IJZrGWj1cXLwnhA1y8Z63B+vFuppvRi6h2kv9x5YOGiDVK5ct34awRJKovoPZSH7
L31H6229RP0H0WN9VA25b/Zk8fVWh9i9Z7YPUB/aec54zlqfjasD52hwxNI6pnVWcM7SCgDXfuxZ
nQmgkDdQlaphW0Pd1B61nYX7vS6md30+F+tGMo1kooo516mNaa/SFlqD+86UzcEGo/m4UFV5Fbdl
k1gxjHjrQJzRO6MoHFF0tSpPCrzCVnk9vZvwMs6vizwvzrTsZWbjbn1tvZSntKTwVtLpHY01v5o8
ZmsCSKQ/5l1ZnlWz6z4BdYc3QJyxs2IAV90Y267bdVzq7WwX2u6EEMVZ03STSDtWsjNwoh6cCrQL
JHx/XLeKnomy7D4PUzFc0HVA106DvHVVh90aTNjJEoQaDTScRGCaFx0bus/sUGGmhq/dlNV9pXcg
WX3ElhZeG43LORpof9yhSp2uk+s++9ANH6YS5LoK0X+xqBj6ZB1LEGtv2vy4ADZiNyrvbtXs2Bld
+2hOJquKs0Uz3QHebdtwu1aEygUy8Exok5AZ5eEUQVrusllVRRqVsu+TwpSVgQg15i7pbYyuOxTY
mWY2f9vxsnjD2Wg/8YLXmR/LtUxwtOYomSSASDYSvCm87I/DEOdZEY3TydDC4akSy1sZVRAXi1wf
kQ6e7uKoOBtVz9eklAwQuIkldCxI3+yHOm/zxCsgcTJdz/lx2Xq4IZ+UTIpibnxWrZ0dkxX8HGgs
496HAKS1FJO7FQVlaZ6HZo8Gf7DysexG6LlgdqXbcnpHrR9FOlvYZMPi+lL6obshVcmvIrX2TdKZ
uTwLvDUocdQMH5p+Xc4ld+O7uFvqS31QNx5yecoqlF/2dIKF6ihsYaQlxgmAjPKMOpCarMpwHhdR
uI9Xq3fRQplJgLTPL3Fb0X0fl+aUkxneaNf6EiD78lbF0JFZ54lGx+sAlPgmastwLzqg+dJ8LHOb
AN/ihsTwaDYpj6wwEMnXNkp1xPNLWkLJlXSj68O+nSZewtnBktaoHyD0cgqWBjGrPGvqyqK0Ras9
j0gFJO4UGtB17GQ57Tmx0qTK+XsrI6iZprit0r6d+/vIVugdLbo5m2aH7vhUjWMKrtdfQLRY7y2u
uiHl2IQ6HSo23mE5rgx0JsD2uw7EwiGTu10812hIYDwYXa+4iS6VjyGaCT7dLZ3sL3xugPjvcffG
T6H7uFR5f4G8LM5y3uudV6OE+WVJ9hDH1LAJEvzbRIV/32tt4oshkg5ivK1btrfBgvAkEa+hJs63
3ZgPEMQ4FsCbejJCQ5jIT6uT/k3edsVuaprpiPIWVANp85QMtB4TJgp9zqnrtp2h7u3QTXkyrOW9
Lyx85bquy/KpI5+ZKtiWds2adjTYDJPFpGwifIdAXgl0NGlWw9B1l3jShkvUDss5gJA5MbTK3+Gm
oGkT2Suv6OtJQEhc4lhDLTMM2Tyq6k0P/E88ltNx1XYDLFvzs3hu0ZtStBA3yArt9VhHrxcedWcm
sPyK59ju1aLHAoJuuybIQLOxRyzeM+2PpxCaTINvvo6LeTg1hTDHRWlCAlAfIKCC9h9QqDeKlf2+
Fma5rO1EbqeGHvc6RhDSJPxFXL8xHHXp4unJslT0PeDtOAnxYj+r+dBnsn5bArO873MroFtWAiCd
Khvey2UuLmNTzluxdEfcNn2m5kgXie7tkZzXG+D/2o91K1YBOQeEhCNaQKCHCicVIdAyrera7eso
JsmUR/FZ3dJu68YRGl9o7DJAqPM5lXW8I1XlrsY+4hDqVHE5OlhkZLk4H2NlEiCmQwJFKb1RWvF3
3PnmSGvxbqnidgd0aQk4EKBc0upgE6vn8rWWQNxYhPc5WdHnMs7n7SSjeOcxWjOpR5LNEzij60qf
zDVQhUUI/ATABX1fUbYzbLFbcCcIwLaC6rTgvdqpRqn7qR7x+6Wj6I1q1QpTCy297sqlShfAsFsG
seukzV3zDjEhLsIEWmKTW/qtAFyYDH4oNsWydHcrtJpw2hVev+krMANtmkIn0WI6CGtdKBPaVi5d
umpIoYGQqNXjdBQcAD0tqpsqLPVxMZsjX/dNlTAandpQLRdrjN97HbVbcMWtJmsFQI0xAGRifNNS
lr9tagswg07bGkJglXTS60sZD2tWt0SeuKAhesXlpmRNndRkYGdtx6xNy1khaFo06z4EO73mLIK0
08qoBofj5rgrluqsqUhpk75aG/C7wUBZ2kQVuBH00KbXKvfVhxZTvoMBUAMpZ7GQsdYOKI1RR8u5
ykl/GoDMhqpOTLpOxqGqj9Ws40sYQDseKrEc5ZNPJ+nq1w1o+cSZWUDUtw00R2efmNn5U+B9Q8Jd
dYSWSH1Q0DOFOudmsGZM25Ktad/xKa2EKWUyTR59WAId9haLz2jld/lg+0+AWJtPjWstBC0XvRUN
i7ZkGouNF2N7ETggliYMCJreyq9pseRlB3BoOZpwO+njiNiZZpOInTgSNUKQYyi3Z9Fc1EVigrBn
QN/YOMGyKiy0ARoIQhax6lPbVuYC97K94Bp45EQHCKBVOfvbxuH4s3FVedvn8dqlOIIX9jAFcMyG
yl4FGGKePwyAeEBvGoqctuQNZImIk33TScgoauk+QrYE7mxtEB6B9IdLNtf4GvAxVKZ1W9Ljol7c
bVtbf+tGBySCC2N7X1MDrIJbff4pdhX6XJcDZHpLw3Lu+iX/hOsBinCa60il3Zq724h1UZvgdVJi
s9bMXDX9AoHBlctst6Lwk91SNQOjMS4lmEeJRwA41jT2quRjzQBj2vwTQwyeUd3SDJmoVM0yamIw
I0OCr7PJwS43FYNxqczAlJaAImaBRStNjTvRK/NQN8ZmQmU6d7MutgBe4c1rJBe7pzPQj1lJVYh2
UThAAA8d0jyBYkqdVmVMTcaHFkBrk3PQUrRCqkubZcw/TcNUlkkxarUkecHaezyOsOrYk4CymRL1
6asw2RQVY0KgPanT1cUwmSbQutgE6gm7I4oVKem5q1PggkD0BFFzxWB+zOwaXQHdA5MFGgrMeqmP
OgQs0Bnu2YK2nq3sJAzeXrEZJipAhdBvTee8h/PVggEfMnRxXZ04mGKYdm2AwY/XavLT/cSBG01G
zLryNY9QeV2HCe/MaMz7FuawL2qh+jztOhlfz2XnwtECNHx+Rkc49BGeYtgjoHLYtTY5KI+HxUTQ
/7OsSUEn4LvA/ZchA14GpDhFHu5fDXa3GqoXncBm1Wlwk7vTlauanRqHHhoYqtXVLq41XtImBv9J
ZlDnemSA/zuetYviBOwQEB0raVftYz4AiTJAb6WC4KLZAK5OoeCGJAz5K23HOK8TI0cYq8LrsjZn
5UTitD9AyEYY7JMGZgPfoirGm76x8TH0pIejuR3JRVvI5RRmmfS7dS3ntzOm09c22Lepz/Ov7ZKv
s4tfbBcGXZTffsj1/eM/ri30Qdo/flb015eH34H99en1nz8g++Vduzt7GJt1j2867Ob7u2Az33Z3
mPt88OGnIdR/Mmb69fdo/+TigxnULz/+BOvP0d7DkCY+MLvfJ+Z+mkB9NLj71xzqH899m0Ll/JWC
ZheH+VMYHYVmPvC2X6dQgVV9xRBWsVQEwBg/jBB+G0IV6BUQ2QJGjmFGEwMT7L5OoCIJv5PCkFmg
PITxDvjB2r8zgfqQUYYmI4eBZ+gAyMMgIbjyI0aZ5MEUSHXNpxW1DjiJBcJQB3M9trJQiY/9DKMq
P8jnmx3985lXWBHI8hiG/A6C4DBh+2hFN8SunFsyfyTryCqWwthVO5gMO1ELYJmnnvFPeUVW3Ccz
Hr0rXkP3QqjhmbbuQYI/NEBBsIID5oa5VxhwhEHYn+ZEIRP2QNC271pqWk8Sb0cW3dm+7AMAuhpo
6A00oK0+n4BBWeekK5kFvCM9niAGCjE3U+Jx0Z80ueRXMBTSyJC4GfEJBpiiWKc9g2h50i4LtIor
aG9C3KfQTUXmOC5jNl3aqYRBi31e1R74EqCQGTmDUUXRwYBgPZBl2v1a8OhhZwyOSGCwEh9OfRhk
/2mmpOZ5aebeibfTaOJRbdgw4HCCpxX6TQm0HCg9KtG8QCm+1IocKnLIcrC1iHfVXMNoQTXj/Cpf
+OFL3Ou1HY50h0nUbqoeMgTa9s3UOQ1sZKhtyPK57TuSoCDb9d0gUO+fHUl5OK0DnUaY1cGH6Tjo
IsOYzON+eU9Mu9rK4LfSl6Tvtr4rDhvwERlhMQJhbn0HPyoMsLe8XKLcpzC6GOBoA7Sk6puoRCic
oIUdvrJ97eqbRlWCHum5OcihD7Plb/J+gbs0TL7Aa0LRcretIzGQbQfTIMSlYTYdHPfX2gI3fmCf
cDSFoD8Ow+kSeuTw87qH7Re/1Eg0ow1vSTHVIH4/9GBaa7Nq+wWGJ2sM/Jy3/fpOYBNNddJGFuo7
yHptA0zm2nLki60i0Ti/bRs3gDhmURGwPuh4m+reANIBE6Nz08ElN2oOp8bd7HDqVVvCgvp/KDvT
5jh1bQ3/IlUxCdBXoLs9x7Fjn8RfqDjJQQxCAxJI/Pr7sr1vnbtzqvau+yVddrcb0LC0huddsW2E
nzgNMYZCdBmGwtqCE1uDLR2wJThLBvz0MT5d7+X4D0W23/YomGMwhTAZQDOh2k1+hxTibc9y+Knk
yyoKCesg4cVMDwkv/TrWaZnwbv4ns3CYn/+wAlhROOBT8LpH2TwCKftbXQ+oSZvlyhdfFoeizXcb
rMWC0rvF+GSDyiQ9tRuRfqnyKQ0Y8Glt5/G7gNHDKG3GT/axyJeyHc6tzUoYA2zI9clAbDJ+94Jg
41s/L/nDn9PWIQ2NofRTOWOvYBcd0wEX9pgIhBwxXlgY2PqESo3EndBxxJoec7tgE/79kvsN7TlO
nziJWA7GpYBlhjbgr0tuigczx9tIfyHetDAQicoUrhKpFZek1Knxe0YMKnWzDkvIGpt4CiCVyDZ6
72aTzaSWiR+LG9Qog0Pxhsz6amNYfvcTFYoEJEg8PXKQdvCyIXmOOKvuUF6NfxVeBvc0cV9M38uS
qvZHKuBfPnQ5MKq0EjG8qanOkMMUn3gc2W1uuomag2jeqBB3cRE0brkTAns1ESmWOFn+MF9/P0i/
bcucRdAog7YHN4oTLPl9fRSx6B3Pefmr3eQ86Csrsim7mrJ1McXVviAG3uq9V9C3wyHsk/b895f/
jbXAiQkA76AbUjB4Oaqzv1VlkUktFzAf/c8hHtOxr62Eh46YmiVED2eDHIexjeG2y0CVZGRX8yN8
+oBlFGd7vqU3YGrnZayk1KlB3E9Ljff+/iZ/20MFKFDkc7GEcGaAP/29cux5TxKUWcnPnJgV+F+3
Fx12LwphFkj1bLAl3kYatfYf9Bi/zc1x3YzBXCTYvzg6f7+uckEWkqTlzy5gzeXIIapp+cqzNpk7
eOa96z/NLToiQFnAJU7KfyqZ/9V04PLFISIogVQBiP0va9XRtSeR5+lPUkyFTmu6AVP4jo1E7PWH
5epJLOP7dNTBPY9LFCGLvfB+wqD8/QT8ZjeLiIJkRzIEOD50PTT9bZFYQJdDQMX5R8v2mZqL1Eq0
KG+1YmHhEkrjMSt/f8nfnAs8fAn6PwNFH4GLYL8Dq7zg7TSEyPzM8g27/BzifI/HMzWbgwsJki3L
34zDqOtqAZGdv8korIad1h5Vk+0fFkKc/j4VFDlr7BJsVOCq8Hv+ask6tg+UKUveeW8KQa5A0B8b
QnjJ0W3BbQMA2roXS0hUhcRjiruifcTds1D5EOqZxGZ+xjF4eKaaSpM8ISUyL+9/P2aHPf0/Z00B
EjXCuZDRuIA//1/ktNvaEmTF7t89cmlYBJEbIwxW5LeUksqbdCXPKhn1sWnsJo+XHkn5/+9gxfCf
ceyB30bWOoNp++tglTpZbFhy+T4jQwQbPsB64UhaQ2ThCqcthd1fOofTUAwUqb7aINUV0yvUVQ7H
Q3NY28PyA5dFZrnfp/U2gwhL/hO/+7sDi/E6VF0AB8sESxzw0l9v1KdwtBiqve9Lm+SH12kXNblH
HM69mutNB42bI4VY8Z4MWsApK8c9kOdNqfZ6YWZCsQl4dBRuBdczDtqZRTmcQkcjMj3lgnU7Qu+U
eZjEhAzh8NV3NuFbx77dcL7//fz/Bpsf0VcMCosdWClcWCzWvz4QVuas13lVb0h8HLGQikqKpdi2
jiHgifeCwLS34cN6Ti7De+4PcwKSr8RbfrNprpHFSP95Q2e/W3GEhghM4YXGEH7BkPy2LJC4WUTL
pXpTBrtIn9JlLLN7cL3AcNLFHS4za9dpfxXch1BUKApumtcw+Fv+1Om9JVdGoEz0aoiDv1PCw8Qy
Qb5WTOwyOnpMj1xShiUU1gJ+kUKadH/doXqB9xlN03Fo9Rh9TJCc2eGSfjj0JWIqzF1Kh3C4rnuE
yl+j6IL0dI4SMP5q9Ic32ug/Ls9KFMO2qpT+iGIknAfceU/mI4qxigq4ZUs+I3hgq4nX5yyVu70z
KAWaapqESURNulb4qy7D4fptLuc2e12jNcYiK8oOfsaqZwkX5f+1NlDchYfBcJgcbRtYDlLtr2tj
jixvB6/Yjwj5n/wtSw2sQZKPFKbBpKJLrtatXJEqikRmEpQszIQQupr2KF5qm6Js/zJskSPP/3Bf
Hy7Of8wWhDMJlFIMSYg/Drz/AvqiCM9b9Hy5mD2J+HJKqD9OeQfm18l/L/uMg6KWCypQC6tEu/M4
ryztbAyahQmkObpajsr69C7JIFmKHkVLUUe+CnqDrX1ofT/GPtRtgqn8tmgtdHcyYLhmfRKT2xNb
RzLKF9GUhkb9dJdCqZHmj+xjn0CHtpL0UzuLWPv7seMrgyvq1ryPWRUNcIGu9J5D4togpa9g31F/
o9htBcGfcaSQtwIv3SRL7LY8jDiqEma4ux7/GM2NiwQ7lREfsAC2NSE4XmRSltPDfCRSn2N4ra54
SJfp2MpkSA7zrWB0MG+RKmPgLUhVowpazYthMxAZVUyDQ6UnTnEbubY5rh954LHPKI7jX6zYDeO7
61Kb9lzoNdXXRUTGPDlBmYZLitEP6XoTITzvOyR5xYJAAQHsNEwvqXQDSx/ygCKfuh5ywFvrDV1W
sHt16NMRJpttYUl1w0cnEGdsA/i9GVlobkvZ1gTavS0SlQYLSZNHppkqtlOn84zqLzRAQCy/IMA+
Dso2HqMkfwBphqj5S68QXnUN1jmO6TM3Oo4HFH/Lxfw7FIleyhua+y15i6kPtnzIxNaqzzMDspyc
hhmpU9SOAGN5W0OzjTMKfETA3DabTw5BYES8kmutsdxpWYcstNvdiPIx6lsw81t/MxNWGtibnoM0
z6LJbgBkxBh402atmudKFLMwX2etS+Kq8iPHhJTGMWsa50yX35WiL+BUAw7JUWxoqYsx84j0WkxQ
mO1hgT+WxtQjt/c2F8D3Iyhl4WmqajVRDhmZWTpZ4DaSEXzvNpKVfcFhL8tnNTMynUUPuLfigAue
aejp0IBuai99tqZXfZTu16jYrlfOdPKpMDnEoiiOPhS9nZAWzlbzpcWivso6igIUdh9/H4yavnZR
LxvPYtD85ZRCkcligAfJTG9LFb3JEdtx3lR+l2+9aoqMc8xuRMwZdansNMjefdqHCew0Vq49lSFK
J6zYXPzgyj0nqGnfQg3Y3Yp1sSe6ZL6Gg9ddrdKxhrOt/FwornFeqv5nv4AHm7jqUNaa54a2TN+U
eyLOgK5gXWdFQYOMZZgh+piL84avvC5J4O+oqLkL/In2p2YA1kYfT9ANsoGishvJZwWt8l5NXaSX
CmWq7mXze/l9IjPKLqkTX7Yy6U9RYqObLAJtWUlIOe8yVB7Oxi4gy4ai/RwRlKQrblP2M0ZuY62K
WMVPazLw/gz8kpziRdinZc3s9WEKmiV4d5MuJowVFVtZA1Zsefm1XxMWrnGyux9Lkg3xSToFTLYD
8hGqFTz8r9LSQjSkJeZGMBzzTRbb4bNf07GmOANv6WIBAbYll9+jYVF3HrqB2yWPjxUKNAdJw27d
bjzI2vuoGNfrUkhy00NNkzQlrN/PeNvSudr3EjoNi3j926b09ksT4uukj/fvwDdlgpNaISzf9wUr
l0+oyyISMQBx9230N7mDXriKYtU/hLiAIRbK1+uWTukNxPyTujFem3OiXHJLJ+GrIaWvdAs/oO9t
H7IY22ddnG1EoSNIjb1Yi4YGmZ6yws4PimfmW1B+PaNu4Wy3VG6Eb4Gaet9RVRGXZt+RipVVmkzz
BXX3tEoiYT97KKY/LxyFsnq0tnvRPOivxiuRVNo7X0PNpYZqwP0hxVjm7YiN5/leZ77cHlmycNR1
9hXlZaH2inSReEXPLI169Bp/ZjIrr1ViytqBF7rJ+jn7vpS5vxv22Kwok2cOF21t1Tqi69C57i4v
CXTUUzyy74agh0hTaqVRrR4W/Zhv+XiGoQfZz/q9uLKx5I/wf+Ezbdy8JHJWkDj7+DKoNf8O/vhl
G/bhZddiLy9g4KDY0qL7FTAgF47irDtJGoVn6HApys+ZRopy7MDd8hWcDBvVBepHGlddsbAXBiL8
PfUq/QJ6Tr6vO/QsDgsclVuZ3GfIpKM+lSeN9to+i1QSlLLm9Y4AX37bIzlf0gk0Vj27PXuAHDfD
WeZhkaKhLwlO7TG/KpC7hmhiHi4jdeYFMVOK+1+TG8Cx6XnI0+XbpFr9yGYOdVaY2LMQZr/tlgEw
awGTC/pW9A9zFtkb47LtcQah/MUArf+RjiuMQ6LD+pAFgc2j0+1TnFp3602xXfebB9kpXTlfWgAy
DT/qjYdqjF3vxLR3bcvN5z0p+UsJu/1N7yXYz453V9hsxf0eE4vYIO/PE2vpHVK6cVpbAbF0CTou
xXo383nviHwcx5I/dl4qXaMUEp3NNuhvyrqsq1q673fofeBuEQCMVUeE/NKlOxOw2cKf0mIsr2Lp
u3pVe/apXLv0wp0hP0mbILa7CxQyTlYH4dHvAHyiEoADR5quhT1FaK83oabHVHu3EdU9MhdD95iF
+XWy5jv+pqsW28evi4AHM7hiePBsQFoDdG5/w6RK3hxp3VZPfIugbyncS5+sq77wZEqzmvG4uM1a
acozi8TMbgQvVYPEJXDoFQneBnpkUVTDbtlaibSdHyRBgvsWXHiBsc6jzZo7zdZtOsfexNv1nGnx
KfUZ+VzMrFd17g2XJ86UeRq6fhUn5DgDvxX9KPuGmJki09C2MbmAjlv2p1CiOQa/HK5H1DDt5SRH
jJoET3AzIpNhpjou4LnUVLh2vR+RYl7q1MXdl63YZQCuOeV3CINbFKljuIi3FjGLfaU930sDO2KU
pUDPog5YVnu12ry4oYmP5uHLnoY2AYDrdcTcDTqt6Oi6BK0eLnoCaN/wdaHumZFuHFBy6iZmKkNA
4Iw1yZh/7lOUiaqEZ9NnGWKyX7Y8DdDdA1mN7sAvArlKjI6K+2KCOW0QeO6NnPf+Zkgs8P24GG8s
CX4BVRJIznbQQ2KGQqSJo0SMR/SjEio+WZsNpW1CPuQTWAu3SOyHcl907eKQiBP0jRO/G7ka8krM
yu/1br0G2ifC/oy4ZxivAPZTeeo2ut2PPWpAzeB7f5VCGlk2eRlx4Av5YOLrsTNqBLBHi1Almw9f
cpvYB0KZL2oxtBkaz2QAZuoQuvw1VsT8XBlck9QooOZStnF66laeuKSGC8eJrJGMRoi3VQXPnwLJ
ZAHHzJWhn2pYUosPyIj0vv8BI4TuBSeuoEmnnY4hYAZvFRf8pBIvKb2PyZq7l6EEWno16DL73q3r
G0ra3UvH1VvHFB0qhAnieUMx49SWrblEODwiGIncPEPttN9OIZkeTNq788oNYA6tdgX8Lo1UJQQV
z2ae8sYYyGRd2Wewr6sVP2zX7udCQvSowcHcqxHnSh37ZdPNjsMme2QLT5+hTTQGNH4JiAlNegjK
pV2//YylGj8rPS/laQGze7fIWQL/WiyEFR56sOt8Fh3kXsKzayEH3SSzns6jbunzPEbxiVkub8cW
Ophk9NltogD2yG6J0BYAYVGTJO36fXaFu+w+SSDLLHAINxFb9XJScS4fEJdv9lqZra0YtA9g3sYO
Otp8WVXFYtEiN4NEg7tecjzcKUgSP+8tuhS2yTLpQ8a7NgabEkruMJoHnPI4/Pt8BKs3wL/ALbRP
OHUg5yhYXrtZ8deh7+I3tDrwZ1Sp2EVGTJwLVQyPBFhnvYqcf41m8TINKH12CNzOBQSf3+SWWFlB
HyO/pVFrblyStkBQjB/Kukd24wZSETx0F7XnrPdrDe1V+mlAWHKzQsfzY+Rp8Ta2XfwVctXtbo3n
tKFKy+s0dOFVFlMyHjbNqwpwqb7P0R4HfiuM47EIsx8ZqDBwgrM4Tm2fLO8SDF1/ghAJhNYgELJc
z3TuZb2Y3tsGaKlEIFBsQ1ynE+xIlZN+oPeTWpJ3DgkD9AQT7qEaQKiU9YjvBVUNQQQ0IIpeC0iS
igYh/AqCieD4vgGLbv+lELXxelRpGr3h4N2gBiLltl4RO+aNVQO56jVNXvIh4+cYKgcHegpwJbC3
4d2t6DgCi0T8WTqktCvZ0vQOKhxzq8IeTxUIpsTc+cWp9zGxvj/kMHBs+3XyPyzEFeaCTYk4DSx/
mv1cN4Y32bCup3lY0xuktyA43Hq/w5lHOuYXSKC1PYuC29sMsgfEsnBHbDO1mtAT0QK5tGhf6atd
pulboVZfj0jBNFNEdPTgtiJ+tojyGMpg8OGq3G58umxwqm5g/ebt5DWHfEt7BtfT7AuRDynfIM90
oOcgsBARVSdwr8jc60VhEdUZF3zIxvXcrbnSTIwHj2lbwLgIY4GMATNL4FOnc7t/nRc3j58SGW9L
g6iiHWHSGFrRqNrErpvChUTJMGefcpe2ZTXGuk+/T+AkyFyvwKuG9ozuxKOP7kcuc8lqRNs+g9h9
52KBDgAHLg0NB41VTpVDljQLzQxVlhhvQwk5QlRD1MJi9TitwELQ7QTpU+bOxindf+06KOu6ZsNW
ATKMKlc6A3KDjCO35w6+2nztOICsfy96gd7rxFHwE/OJ6hCPz22UkGK9KFQG7dyYkJFoeBxQmMM8
ZAT1QTcgQzhvfkX6GI//SxBWRBjHZZhDA02cp18pQlz+rD1W6xtROfIHdoJE+pkkcevVLdojRshD
UNhxRMLYh3vxs8vayOcX5Ct37DcdL6z/5tTGCYR65RZ2gsi2HbYcRwTMsX11HAmF8s7CofQP0cCi
kNWuW5weLzv6QWC2cOQNcnhPATutokGTGxfm29Th8fYKTZKTZKlzZPRE+5xaqnposkBm9OlN5JwO
sm3S3sLHQezQ6TOYrwH2mFjZjHTq7hOOqKFqFYPFDAwyLVtml94WIgR15tmapLqvZ3gjkIadutln
/XRS6F0koYgysyzvdrh+5aklU96C8VhbBpAfrbVYdirCnmYXqPjEqyrd9EJ2CU4skQB8qsxh75zi
nIuf0TzCy0JWmZvxJPOFQRBtkrnw1Z5oC61G7sIf2esbBm3KI3rGrFepdv2djNq0HpPc3Q9xCOKk
UmGv7crAFKMS+zwwvxXXGi5cUaWzCpAQzts4X4yNULb3pdqgAozW8acCQjzCtB4sGzhPiK9tuoen
pSebh4NAphM8UESI6KdF6QXNGKxoWlH6d2gqfFBV3G06firHHsgieoPPP0zEClMtw4rQYN7JimjE
DDE/wZ0wy5XjdFx/dgTtMUgNjzqZ633k3Rn1T5DSZ4FmSezFJZodRG4GZVUGec9VvMji2wS+GwnL
ok2gUEJCsaeIUIuwPAi0ZXBNElFnvy47JNSYHNUKXkOuqVc4SHFym2VIbj10iLxFlWn44fdeucxD
yTMWp2LMpxvSLRIpYkdRtCjXByWCrpPglqacKdNVQSy/oB6AiSl8R6rUl/pKq0kPtUPC7H0fVoO1
0bLPjkQSz7kr6MOUfwyY7CZjbclOg5PbLzIcTsE4qO6OwAwvbwguN/65GIQ5vC50TrqCB5PfmKyg
/TtMZBou6ZoNT2jK096DC+h+dibGyANE91cWFQBkRva9B7PdR9tL6al73MzE8QgoDwM0KISENS0E
igAjZU8x0odFwwa5obvQmqHnUtr1/4LcBvV5Oi7ZFYh/6Ck2Q5/R+kGebTJHXyHgjdFoyUOSZ6Yd
me9lDxXqiuEB3FrSQ/W1oCtUNc0gwli/svW6y42EmZ938A9du3ncLps4sAdEw7Wai5CcE/S1KSo0
X+mXplvTFaYXXCqyMBb9JsCTdouGUwC15n3qlLvroGQum4h2qjija4r6svnCArOxM55SjHnxBpkv
tHUCDvgnTQ6Pd0Gb17mCTx36Kh9biBHRW63n0MWWw4a00Lo97gIZgArNBVR+Gtd9CE0aif60a4+/
6Shdrjv0XQOzn6p/bwuf0V5r8fVmafhWwFqst97ORjWTXqFPBKfpcDlKNQKCHlkgkcj7dGqT25JP
Y/HOSAuZmolbBp0VT97D1I83nqjlMRXLUMc9VLmoNrn5NC8FC3VPF5DwxZb1oXFbGJZqMqVtT473
5QT7a9LpdoiTQM823+grkHnlH5C5GlMkA6RAMzQl4kOI14VKqNg8yJYt0anYaEBQwBJgfOCrqTiJ
eAAmS73Zapyb8Orgnzc8Nbo8xi3/tKUb0tBpItuHchLpVw0avKtWN31LQY1/NdBAVhytxp8Ki21T
sm7Fkp/Mt45sUQffypOawPO4Nw5lswV5F6isHLk2Azb1IbEuPlln5Y2lGjUUU4x3yAsUV6SNyldk
jPsCy6DL31WypyefRcvTakJyPS4QEaJDRLkd3lokrimbkeIplqW8WtBDJm92RuA4CfDLkDYk6/QE
CqVvDJJbjcFSz6BGp+4E9yW+nYMERj5s8VfeBv8V5H5cqcVFQBLoeBLl1P4bWEnUZDSzLyXc/Uuc
tfG7BHL1NcKfUKgYMHBg3L6illXee036i1otdl3pvoPIsY/KRaGtSgvFGvbB/sg6AkDexFDw4Tww
M8KMJW3Kgt4ii0buNp2Yfw1IdjSlR6Ci0TkUGk4ey1dSTtnzwMEf11Dek2ul5pjKatimMU1/BIfs
vzmNCvkg844DahSQVZUAOIuviGilUE8mW2RGP1mIsmHll7JkGiiIBgqJIqIPg9CoNQwqlZ+yEA4Q
YEsAJyZNKiPUx6GA5WLYr0EuBfvS9n6jP+icyfFqkKWwWd2iDYAlDZp8ZZuB8RpZ/lYIAbhhYHGf
R81qdbzDbSyj0NdmzE3kr13wyGJWOUihc5bNW/mWz/NBYGgFIdIEO0Z5RBv4ebNAljTkXXfSGj2O
1ms/wo0fzj6AMcKmAbeVUVQKuZK/IrSXKpYG+NZUdKdFbWEE0r733Qj4RXXtQU1hDWqUQbqh2yP9
eU1LixCmT31uzKsst3Ydmm2nJeI+FEJ7PzwMg1ycbJYtR4ORU6RSCNre3bivcajwLUczq01mcMmq
XXFYhqsW+AG6nCBjfTxJlncRmy6882uh/+VItyfQeLfliPcAfxW5vwVUjoD5dghLO+UQW6F/23r+
+/LcXxEYVA0LQEEoHR4kSnnQBX+tGiJVVtoIWNwvIdUBza49VQh7UjobkAVLwTOHpkxr5NF6i/cD
SnT/cAN/RU+OG0DLVcAn6CeBKiGKQn+9gZ4GQLddX/wcP24AGD/D+hMjBEdwuyXqYv9QKUVzJHzn
fwqSB7N3sMtgW2O08Pxv3giwxIIEL/IYcPxyKHbQljVVdbtF7fCASkFmwklzkysof9Gab+CVMbrX
N9HkUk8rBRaA3JpOkOwe/kWR4phERu8HkuvR1da6LG+gRpPTzwwdksyTkLnAf5iCgGv7lK2QT0KC
hfYCR+NE0BWLO28bhadhNG8hlshFJOK7NDIxa+BysrgevHUG0hN4Gjt0I/NqUELp/LgiE7TuZgtT
5QkdsuHMkthlz/lkQ4ZQy8ducxfFNh5D5h7aDo4hRxlwqot92vYd0BcISoVtE3DMImYa8jPEKx2C
ZEH8/gWdZ5L+1WVTB+85s0lcB9BbEhqjzi4MCs0EOjd0De2uMK22gQJ3229bNqMvV7zFPDmjY2nJ
o5MapcheAl27kbwwmA7/xaOWa+/JYmfyhGRx4X5Sk+fmZS/WDl3zlJQxXz4zKBrGS9uD/TvvSMAL
WbFRpgmvC8R/unyPBRI/P3mCup5vQDgG/Ys5u23ICUzbEg9wi2ZNywaUDJ3ySysQTD+gtkXG8YKQ
ENkM/ouXc2oxyj5OS5PdozPAChITWX2I4z6neWTz6DTPmVLFtWNtz6c7qONGFJiHtbPberfRtuv7
c4typKNP7YxY4fqIxrvyjLWSo4uAWvcjPpqWst8YEsJZDivLWwMn43rrFsL7y9ajBQn8JIaYIjSr
6h39KolDQHONxbGRtt7gGYC+cwpMAqtsSEuff5rQaAYv9uOXpO8nvAd5eobLIc7I9PvuNEsgx8wN
IuJDGEaKog4DHR3aEs7ofDJBPrcetAOqzT0ep0spWOjvvg15xOqBcsh2PgWoiVTxOLQEZ8u5GFOS
qOvRBfRv/JSjttOzSjN2EHuFsZSPrwUk7mSHtz2h7egJbZxAGt8DNtac3pK0NcV0F/e6j6fHYdjg
CJ9QQ96WDs0YPkraaXLcUlhx0ianqOOh102EHJuB7smiEDd/TTpERxonNVSJLw6tAdByFJQYRhZq
3h7gc4246vgS3D9I+0prdpxcGfoQHNgMRy4oP0NjdoxYOtkRL3LhljzPojhI5Wy1XVnUEIhKLADo
epIcml4j8Dn18agc5UEMnx4OEwcEemlxtYnHCIzRkOaYnlhlPKH/iid/jPOcMTQVaogjBlNB0NaG
Z7+Q3WTgcUzfQyBQb2UMxT9ai3LqCGYwc9q92gG9DmeMF+G7RK1gz2J/Xw7Fccs9ZlohmYuVhSuk
eEu/t8QfCyw35Jh5ROX43cRQarPNusb4KMjwUm+4h3VecNn6z+cxJk31O3BUjt9R1Mrz55FmLUvr
bGPAIytVgMuITn+unnZfDm+hGMjxcEjZ/DEYaFOFtZd8SDMYlFvHT+lCx3s0DTHk+c+hJh8f/99B
/vgcOLpkvC8SlDyKOp6RZXwf+1z15tJD/oaH1tA44Vpdgkglegae1klW0Y+JkjucCZzsNqD2fY2I
L8CJiEfk7PNPTDiJUYJKccJHEsVi3BUgwHZl1RiFQ6vRCYrCfA3nINJwz/8YQamwg2DXPp6JJ2hn
gs6+Ej1p4is4Vwe7Fn1M7cfyQEVxwvjk8PjxQqGexDf6PHCs0y5GOAr+PeM5fhkksv/8BXo3JLvB
HfD0GN6PhbS7gC6lJzzk8S1xbxDK4jQuUqyuxfLj1j8GlOzbjh/klMqsQB8iOo/DNVwIaJUv3cF7
RqetR6S53n1AIWrZML9oEZro9zjvZiwfpALF8fBmhUbj0wKq6PjCZD1esrUr8TLN0bEdxE6P+59d
jnabL27qoNc9zx3AmWeu07hLr8YlFLG9hX75WCv9gDYYxeXPIUfO0OB2/Ac9ghNA4uKD6ke4W2uM
ilv0AsHBUK6N0sTOfR0tXYuL04Ejq4bMqgL5i3YwBxjzwU8UEuEYCCKcr/jdGFw+lOcRGgcfbtAH
f/LyymbykCBOLJvEWrVLB78TYIPD5znyjHiB1oFOD0I7/BtA8eRvNNpiUDcapPv0sCJXCEdkMwOu
HnN4mK852t8A4mnDfqx95EPzw99M4aGDnDB8cuVpEjhixckTdAZfEIrgqPLfQKUMsDdghOQ4Xv0J
WyN45Qadn/gEGuxHyBb8T1dXauAYjkv6x57Rspww6gsKie3+mnJ0lbYvqHjyLb9Cuvl4dM+6BUOU
orwz4olGtJyhp3yPDvDEIvjDe7FXx6oBzXks8Q+6GEJitMeqYpccz2v7/2HvzJbixrIu/Cr/C6hC
w9F0KylHIIEEg+FGgSdNR/Osp/8/GVc3pqrsqPvuiHZFVGFSqeHo7L3X+lairyIxbnB+vk4QCite
Ihf6fa7Qs8L1EPTNVn5lUDzyExadRW7qwexb9KavEsRFMyVio75AcqQforBe+B3LqzA1ZOeJ6Kk2
RcaWDtUP8jQoH1lZ+B02YDSj1O3r89SJMUGiHmVOx1JpWCH15aml9OA0M55aT16fGKuQDvdshlI9
ldS0FEoznNjqaWR7FirHMWybJjm5RrpKeJEzsfyA5DQsGmmIPOdwM4UpqpGtNVambAOEfZol0HPg
y3oWEaR5Wte8q7n4iwImJdwyj1lfG7kZruecbp7Gzfd6JtOOQcLJSNQEQRX1QR7iLF36UblrkJmy
hV5oPVvPrLfcX8pYLZyBVKjrd0BUBDdq+0NCJOlz8sEI3sqxerbcOa61T8B8LXmyrLqamXHo9A6V
b4yz0ymk6HENaXqtRB2u+I7U7OYBvS50tXto7mkUrXhsI57Oo83epv7iDslQI48LEVShOULglru+
oi9t9rCIXhdYsnk70AfuNK1kT2nbJvPlnrs8T13dH/iXdJI9e8S3MQU/vsnrtawr1Akm6hRjlbiF
3zVoP0RyLhNB7jpMK+vDC5hp/QlmnZyzMP2udDM1VeEnGMmsPxgavclPYDhblf+JDCse5YjdYnha
ulmrNgxe1vKUo1r/y49b9of4DegA/6llH2A9r8upEvnNNDd0lzS9UZ2bPgadVnqjijH9WcxL6OqH
sS7WpzxSlrV73eKi4B+CbVl3QCrG/S1U1PknVL3rkWffdVvu6weZjcsrjQKfi/0q1y+SdEFSmRY0
FW+z1wWLufT6m2tHW6XaCqDj9RgbqxEiyKO8BruMTIGmev9aeXUjHpfhmOjRuo2LxcRn2INcD6v/
/sApZcZ7BKHBd3VZpa8mnIAO/npP2uGiZ5iP45bqeBOnchUAvp4QVNLropeRysbvFa2mpBexbkgw
Xv+mohS0EFgfuIPp21Fb/kV0HSNHdFBz63dxWVoctR1FE0/DapwGECLWJ0i+1nhDUq/H/uuPXwvW
N7Xd+vGUk8wSX0PO3quQkT2VytjaOCxfl8YUFeJ6/lEMyNOvP+qdhYGnSUW4w2fhtORPay1t3+Ch
RyeraeJqxZ/3iJpN4CLqKhSAllwcHazIVryW032ScoUBEAqekx+L46+P5ecy2lRV7p8V/e2slFzu
c/3nYwkHQ0fcnEZ3a6VvPSemtu7H6YHZxmYp2Tr/7jz/9QOR9NIwsRzSG7jW7+TG8BBUEjZUyELf
B0NRxhv/YH+Xv/54sn/9Bd+jrPmGWI6B4SN8IX+HpsHP33CSqYiKTlrnHyvGiI6DR2lGXGGa20m0
DoqxKlya235EbxHkfbGu599l0Eq7CN5Hvzmin3snnHNKqZWUa6Ceopf03jQyu6oy2rNRn+XrQzWy
r+MZn3p6pRBInCHhEtBAmXkyXZiAHEGtxOuB0FSr+8Ufair7rYnKyuRVjiQU/DkqMX6cHkionZLZ
oJ70x1e3R/W6zP76S7y/jFw4oRqqaZiWBsT+vWOS926NK08ZTiBw15Vp+b4Rqlqz6G9nxenFb9i/
f/d55pqfsf4Pnuw7o40N/oULrPanH6+9KYqZr6slK2uJ9jWJ/pUj1AQhS1/L4fvR3FJBcr/rbxnI
f7RiSFJeN6s0mk3yejXsTPJcFG29vjB+fUJ/Xn9MbggVGy5PIM59gRH3XT+L4eaUNDSL93ahNJnp
0/G0jWer4YH53SP414/i0tE0AxtMpf8Xsnoe6vncR1a0f92KDDD8WWsmvV6FC9+/1f9oDn8b3fiG
ymBYOqf9n3kOpzUB7P+CF7Ac3Jl/+Ys/gA6u9QevB4tcMYtaTeirU+lHrBhL2R+8Q7htVtcy/2Bd
+0F0EGTI8ZDgTLPwF3Mvcy/hdlhjxYQJ1IGwMSDJ5FtgrND+DdRB2O9eZQ5vBfgG+HjZ8DviL9B6
3upVa022fontQEQLOScRr5Og1FUA7+2V0gl3U+U28sPBMdPawxi2PCm6tLRVNLxHOaRchhz7BksV
AFY6PoRZLe1VGRV7nJ39kZaDHQjpWheANdg1FW2FSSdSLoinYMQicusOucqElMvtGIGUqbLT0Op4
DMRq32pbCLXlom31uk4KD52JsUtrl7AZ/o4Xm9E+S6C8GHlzxGwJVrUOb8elvp5IDrA5j55g7rWn
x2l4juUgJZbWkcFNEPYZIvSo/tKb2gggtmr9fGhSn5CV+SpsmC2MnRrgVvkcKwCIa9kq7G9Txo3q
suzMEilKEek7hOTFozsPKaOFLAkWSVzL1Fw32cyOL8q6l0bvjK20cwcyY9Xsjdzi83ONmehcY4su
HHc/Y6k/21FcBrmmLXtYmS7jAyZFeNGGfdSl1w0vHL9us2WT0zvzeh2VoWDsQL6EaQRRAgQPtssE
TVG2xyyxr+gWhJ5m5Gf0nCOkbntHK2RfUSN4oVxxAG7JTtCI1EAP1R1qJcjh8fxgdsPsD936JaoM
YROSF7hPmHAaU4EM6vSfcIUGxjTlRyZOyUXVMOkwdGCei71VElltzaVGNZRZVJFsldl7WXs3dI/d
XKo+RXoFyjZUHmYjQcSt9uamLWm1G/00bQF8uZ4y5PNBL+P03k6r5dBqdAbgZ7CdmTRzq7fKHLST
KgKa6IhbnWg39dRvNX7Jjaulz9VUiQtQdIe5CHHnmVhV+rahiyKjXWwQNOPyjsXFo2yytL4vW+vB
mZbLVAephVJIbJUiofOC13ZnV/nLAqEqBcK7w+jf+GM6FhvVTZVjrbtfxaKkAWoLM+CeuJft5Fkj
twSsVhTjabnto2z29SjEDkha34CXh423pO7uzEOtp9rzDMzIz5r2YlKyT8ssps2E6HaTJum8NwvA
98tSOB6wNBcKEUJAO6pgblCvbUgkmXxV8u+gFH6klZ4zdJjCwCpaYjzQlO40xoObEuft1kJUsA2N
9EOjW9FVocb51nA+RcyAjxO7RN+sLOUeVUXe+r0Vi8CWSYJ/NXN8uAOql2bxvKsSt7lXi8kJNNvN
zovtiACV7lULfXjrpNnIRDy2tgueoMDUVXtTTIyGO11RbxKrWTbqkuVYJJwY72SmB/goUoCpqXWg
NAv9hFbSXtejQ2cO+gVeHuD/elx96BH/bXuH7AW8ErZvRe4YmGNe064ukauZqfphDoXKsB0mVD7U
EGPjirZtv2CkWbLijj3NfBMycj1quIywe1hWnADMz+IN450xmLociaIssg2WdyiyVtNf2gpib9dS
LtH/y13JzEARGZ0zhHhp4cjDUNvg+eh9BfbC+ayW1tzbMSS6xFC/AUVzApBf5pG+v+6lVnenOskB
1ZKFlcVOPNGYZ2Lp6s2oGqsaegKPOqIwFWJCGFS7n/tOnhMwY6HW30jq4FVar+3mRPmai2XeSqTy
TWcjT+fnW7tAXTzPdJcLRJOR0vigK6tgDofWYzLlIENKXmocWV7kLHctWv29PTBuRoaABsvpO5+y
Yt7oSQkUvqi5pVBsXDGS2/a5/uLWBgKTBObCkLfmXQg/g7QbF/w31jQetd0k6q9DKxHyLnN4AsqG
eUBq2jF0JAYHSUpkNqMFQc+3kltzZx8b6nUp9WfLai9pz6SH1pweHOo1z04sAi1nwzpAzi7uXXd4
lGEzBkxevlrxOPoDkyAfQt09U64LW3QoTx39mJC740Hpk1cSljE5CjcyDrGW0S2DM1J/axqG94mL
btdc+nInEF0FNEbSTU02zuUsmUxTYjuoTEN3L0EGIhl4dmfHvcciti9hvV8sVoo2WJ/rbefIIUCz
lHvFstzXyGZuYFxepgh8mMGhTaUpz/OsRYT59CbKp9y8q2DMBVZXJxdzjYqkqXF6DfCNo67XmRfw
eonz2nqS2fSR2WG/t2f7S9kjP48jGW97vRuZ1EzKloDIdTM5uNedHOC12rFXE53JgY9XVd2Gfmfq
4PjCc5ku5WbExTDVCaZsS8B9jZXH3sX9gh7miwGCh7Ww7w8O40PWmgRFZBhae9bf5BgPglgohVVu
dKAm942TYwrTjV2yGOY2skdjq8vK8FE3arvITh9HJsa4K5z7uWsv2qxuvEqJvhkK9iFZyHBL9wSM
d2VpW7Ok14DMQT1iKyNMAxeNt7CqbmmGlMHoIJUrPkkYZd0HkXQhzo3IgTlf7Ceom2IFeNZ0QB+6
ELgLjyLejpT5C3df7lyHNGNGZNuxnq0PWZnmiAH3tQ7yWgPDbOnhB6MfGfqgnp8bAE0bsy1ZvXGj
L6DyoKjpoXlGSmFbzRPjxIJ0POz0yG8II3IQY3hFKhnBMMepmqVprv63vf6e+/ub7TXwixXB9M/b
64OU6IWS9u3W+sdf+jOx1/4D9QLCAQ3nOZrcVUDwY2vtamQ0kzplEEDmMvlYw3z/3FqDUVt31ux1
LRoiFKT/2VobwNdoERI84loE4aiW/m+21lTT9CX+25CiAAS7Bt2QbgFSPTbsaxfhTZcosRJ0AFob
H6da49Ycq9LEBQZvtapthbVx0kSwyhJZKWqwzmugSuirbLOJF2oBNu0bJPmh75TsWZfFFuFGDuXa
LFfV6RZBay52WmrPym3GgPGxprdpYpMxUPTPqEZYbfR2uFwfktqTNA11r8/VRQCQ7y1GQ5aN3BEZ
0mHRlk5wl5fuZqE4bjYDbebYN8YSMn8bVgNCP4XhWDrbnx10hUGHvmuDVgYzIf6MDqwVnTYzQAkq
9EtX7+KgdXPraqSJ5uVDf27BsG/tluQob5aDiszA0pK7Kk3n2ylWuxNj0fycp1BgN7B9FJ5wZzWW
FaYaIT9Lq7M0qwFO8VhvIELP+4gcy6PO5vNCi53dlOgNDO0yKbdmYVrMIGNQot2oZ1owmQBhRWfr
j9LFVJswEL7TdEI/3Fg8R9Cbr81yRm6xGMZNr6fNYSiBFcWafhNbaMQA3jNgmxPLm9DU3hi2QsO/
GM9MizAfScnwB/5T/BmYcbUTZPj6DRjLCy3PcURYU41MDfQMuIMkumrxvp7GuMAi2/VLf6mOGxYp
POxVk39LmbxtB7Iwt61JaF/U2O1Zt9zPZhiWgRbC9LWUGI95yx8QXR9dobDNsfPCr6SJ5wGAho3K
7y5tWuNsTO50YeC9vkla9ExVhtmXrNwXs7TGYImmC6kiSceglyK2CoWH3EW5Hcopv5NNlvtFJtuT
bmSx33FG/NDNbrFJY/qZst5PeGI/ZNMSeqLVp9NMXz+oJlPfaCZHqoA9CNQhjO4XxwYUKjFj92yd
Spdfm6YNUqlKuzDiWj3Oav9F8vPXETqTW3so4KOSiOGebZrht46O4YD5Sxp6a7DISShGB2xkUHYZ
M8TdovTFGYuojlun7y71TIiLGStU1Rhiq3HbX5WkOT8NDQrajdJ18VGksRYQISBrz0BMG9RZNu76
NIy2St1f0BhvQe1ZV8NAYwgxaMHrpXRS30knZW8UdK0ZmQInnxAjen0IycxaugcFV3aMX42AJHUb
YqEb4KS2dfFxHvv0Jjaaa6WDiDw3aGakOGu1KjeFU31uK9s+5GlJHUQWi0QCnINk2MIG7WY/T7DO
wlrzi/VKzV+wqAGu0rrKW3r1UfQu4szZDffVOChXo+O6m7CvoiBVxROLYXvNFH3aKi3iW5lF5oGt
h3gQljISM4IOLg9J/lMMncdKOdoExXqQp54geteb3s6bHTQi/ZC2Rzgpl12OeLHusFMXeDLDlh2s
RYmGUpzM2BSiwVgl2wwBB5LRtD2zV5e3lWNGB2LvsGUsmXGgjzzd5pNcdkXH3h8YebNbssm6Es0A
DdkYDxgTwgybXjvejgI7gDYrewWu4mkUWlzwgKFmGdW7IlVoIQS11ujpDQZ+I79kp33KG+dTWQNa
s6zFvU8NVPvkTmfQ+pPwBqlMcs1A5AURjzigLGW/nWgvVjWY2LlRKD63DV+ZBIcqwAyvX0SyyLc0
a7il1Uiy8xWSOIxY3swsu148sd7JsqHRbxfz89LjFxhC1ueh5x5k3z6ze5zgd+eJWt/VzXRXqBZk
RBxq1yW0YRJrXNlXN5EZagcDSwTRfRDtKk+ag4rwPC0PmDMg6Cf0uoMS0/+5S+1vFeoqP9Lh4Y6x
I+G9OwhoPMXqHK9iOgl3QSTU/oAyehM2BAYIBT8QCRqO3mGfj0EWs7gTDDT1DzGgFE3s56H4bq2J
e94tSv05U1LEXbFIiWGa4lG3rrMGWoSXojzbZ72TLpeTaKzbiRf2ndGEPCLZyK13aLrB/NgiVTjG
C80ij4xj81PH3Z/4GlqG2NeU0BbeCLfiXBPsowN+UJsjvSXnWM/I/Ts3LfDg1t0BZ050zRxd3sEK
Ym4HwsTexVnIjesuY/xEVFe7GVDv7zV4tHDfgEt5xKUgVadfJZAvNRoQYVFRCywjadJD5fB8GMOA
cWZalNuKpf0bZgvMa7AUx6tuaNubmZapGtgQfhtv0QocxikBEZNHimL/iMGifqkbNXninRwVa4vl
qjWW/DocTPcb+K4eNbwMjTNoo+FRyeRyylX7YGuW/JrnhvXFpE2ReElMx58J3iA3EVlDBxPBas5q
67fsH+ZgRtGdY7rnLJLGGTsP/TCbl2yG5Rcscml4zHsdgTpymPE2rIX1wHuEjhzeq20/zzqOPduu
QgKvESoc8KNNn7OEqofFKAofiJwabshMRIOdz7Fyk6RWS8Yv3bIn4myykyGrCBk3+EHb1918ObgY
b76Irs7OGETuJFtswDpLER4yLcOGmsU8rLjT6uulNmAot2MLylQn3SjfzCCCripMdE8Y/sevYArq
Z0fAXC+UFJ+sErk0eKZ6Vo6Nlg43JGBBUgaToHwW6kzCOex0SD2kI+x7myiRvc2k+dmNpgJmxxL2
h0rrjDGgQVLPOBHy9LHGlCk8pzS6cypWF4SCIONkdZU88MxBW+51tZoBflBoc+TuxrAb9Sl0u1Bs
aPRkU4Bky9z1UiRnjDvqDqeFjb29LyiXHJHuWJ5TyiziYXwj0+3Leezqo8aYE3G0UIN5wByCEs/y
VjuvT3UoNrWK9J+4EngXMUkwntZWt1rfdkFrmu6lVIaegIeQQMeJBtehtQWq71wWzVPWpJ3tJVHf
aj5govJjBnCs2NB9nSERAE39SqaYcRWqYxUYuvVJRLH7wY6L/AX/Z7k14lVIzxIf5qjnslLxCQFj
RYSYoh4SuL5X7iLs58Fs5L6KKwIO9chcaAQas/HJHpv4osOr+4C/FPuFkxsTXbWGTkJR6kzhEQe0
eEx6HOzQ7mfcPmE9ACqJtResHvD8CxPLrQi7W9PtcO6ksIGf+oUN5CZSx557SW0BpxS29sWt9Ro7
bm5FytEp0/AjKUzFhxloZrs1ini66Nt+3g0p9ohgabA0M0PJDmmU3ahLn3ysC/sUzUNQxvlAW02h
ViWSuwBZcys6FzOhDUgmQvSWBFDd9Guo8ArElsje1RYbC89sBvGJfHGIfqKsoodC4CBaPZ3EsGiK
oc2+1iYqkQdRdGo7fdmMxPcddGwKO+aIXbBUhtz2qtpfagqNpL7Jv8apjlAa6RfdipTYdQgXBRm2
Vtd8iEw7/GQJCt2hVBGEcjWX1keX31/F0C8PaL3wvIShieM4aaJUgPMU6ZdKdYfCa9Y/KgpPlhYq
/ZIIPPoik7xPMIvt1MQEmqWF/WVT4fXnBreci6xB2YGQzYvzMaLpRPDbtmjqfu8kLlYawtyzj8yF
CTeJw3EgfCUxMZNUlW5t6nBZLjJFq44jMPRLvqGEuZQkn8Ml6WDPdB0RSTWOStcoDrVEK0y9/VjN
09j7mq41L5FR2zf4MZWvGoK/V/Dc/4ZQv6mSWRSY1/xzkey/QAdFypX8NIF6/Vs/qmSE7n+gYBYU
vfAdTbLC/1Mla7r4g0ElgyahUvOiiH9bJasa8C3qY/DhOoPU/1bJFNAGv9CmgGcAzhj831TJ78B2
VOmwSXX0RagXVF68Yh0bvymS2TIA0+j76VSMBozHEQuTVxqoXAm1G4dbSzHnYzoN9GlVNeueulIM
HzJBtIjXukX9+Obs3bzW5m+J49r7wf73obi7zlSBLTq6xRl5ezSimNfgrn446XWhnSLiBclJsEsa
wNPQITodRtE/2cy8Eq/Jna4Gud/QVEUTawuUpXbxxe068l7cOMaRKKX2gdk/YTSzZYZf2dsSmffr
I15nkm+bDOv5W00NtDlc01Yd/d1YXSR2zLWduxOi84jweaTzH4ZVq7Pt7JmGw0CbgYgqG/PywkaH
xLxMNXbMuohwaAaiL+Kp5Z2TKBUREl1SIgPLYxW5V2NmVPllGt9kPUgQnKltwHDffaAIvUBmT75K
0irWFUvekO9+/a3+ehmYSqo2F8Li3oDO+fNloKeB87SiDoW86D6UETslT2TMBci+Ii9qnBqaJqEm
P/76Y99LFOBHoBqgZ6NzL/LHelhv7kUoBZGo2qg4Fc6indgz9CfIa8iyw/jh15/E4/PTVVs/iQEu
/hscQoSmvrvPiGqalxooyomGqHjBRdLIXdg5s+5lVbxRa/StvqHODlF8BmOP39007zpTqzZCp5CB
DSwsIM7vPx4NQ4LzB9SOXWcmrM7efMkobeQOZXu7oSlbEpPEpd+Nsh6hKGWl/RXrN6YEdxaXk4V5
m/5QCpaFWJn8A7gP3QhiZ56/VgrZkaqy5EjJYSc1e9Owlv43Sov30cnr8aMw0zWUFpRItliH2m8u
lGr1tHrMULnS+jB/SXA8Rry+s64QnjGTU3Ac4yT7FDkukKylRu+JGyvx8Y/a3zp7WUp/Ju0Z71w6
fE1o0XwZiAqxj7++xMiA3l9kA7Asw3V88PhjUGr/fJRW4yQqkl/jKhVIw1wnIJF32a0WGHfbUTWi
UazVW0aeZg9mOLb9Rit2rd5UOykq0JSyzs/0d8Bo2XKMHseUfJ65xRFXmXX1AcCRE4SIGH1m5kSM
YnNPCU1N2+I0VkqLAxazZBRpbA6waq9BIUOc7wHhyLOeRjcRYKPJk71dn0jXve/0XDECayD9Vktm
nbVB9AvxxKOTXsrYdJ5CFexGbDnaJS2kgQm1GmM/ZMlNDorT0BYZZ2cJtNFUgiWdPlctEKkeBSWK
zbyzt2Fb9wfwyvp9HQMO34W2Qr22UOF9cvE8wZ4oauW5zwGgVXAzDkiEq4NWu/JLMlT0Misjz+4S
N5xsb8D0d2zChiBJzgM2TN29rkcQS5gN662mTdqwkajJIC2N+EP8QY/DTd4aDTgL9zoOMYAFKF27
Pa8afSTSBUyO09ny45Sr8YXeuNWdCUpgR66ZQqqjlS8vjlU2m1ad0oUunUPTCDfkCy6i8Rvsysr0
F71T+1UQMETbqUtLHo5x3MzR0DvbpgzjQHYGwaT8KONFwczDGkCfkXSZpgqGdubPdmkSLSs6GfpG
pxQ5TvtsE60KstvRoE+coN0l7JU7qdsa3ei2u8mwp0sL57cM0b3VXc7OP1kpRV/iMNb15akdlWl1
fbsNS3n5WZ/ztDMInur6vlJPXdYBg4QqUC87uJddCEAwSSov1QkmUsHJHtLZIBQIHxE+uRkg0sTl
AkoVFIyMaA7KjH4sANZI9RvZkZ9DW4+e8j6b7XHt5Um3u7TazuCOGsOSBo/f8y7c0shMw+uBR8eK
/NqpMGxr7ILzbSGTxvVwS+KV30xgZUgAc8lb9ogwLoRftiGi/tgFhbwdpS3zTRuyK6DnG+WL7ywm
K2ZBJ3DNvGoUyS58jtobMAbIYcsocb6RJmcnaqCWegc10emdkwm6KTwWht3ZZuoXU1sv875VWd2g
DEWxjaK5HZZ66zZtkWxnaeXzXm3bvPJNHee2b0/mLHcNfibF57Lqj0qVkxuLPoxamf+rCulgKp3+
viN6KM1zNz8YjdvJTUYReV76zoCKBgNBu4hpBxGVyBQr7nZhM1TFHS9j44glVc+2fcURkJgq11xS
bVpwkqZzNV7lDuBDomiZTNFZ0XoGV6Ypgyg0oj6wEb9RVtjtGsIFDH75ijvYtQJkNkCBCCQgO4+t
uthjwcxom2dZbQT0d8nl7UPCo3BOVy7WrzEVvoFed8FBni7KhRpKmqwVeVAcrmtXGw2ac3kgFXsk
j9kVMQEo/JynkVlXcPtQGBBcnEDrADSjPDcYrRkiJzxH+kkjvhnKqUOepHHPSFbvT1blEk9YYLO4
MnsagLsITxF/wYV+Ymzx4WnFE47KIqaDlMtpy2x/YRDQRd29SHXzhdxhSBaOxs2LJ2FC7NdaS8LB
I5oG5GoQ3eE7Y7hJaKM9yXFkZ5FG6XDXmtb4qWpiA6TNSDywk5mMKgu6msbWlCVOxKIZtBPQIEPc
tp2p3WsdaBiaW5gd/Q7/1kR/Kk/J5oW9BAPNBjZxTZ62+1Co9Xpzpmnd7mxJIu4NCWyd46v1yLWJ
x4IDK4HlaRe8wdwHXNHc3TmrZBM4mkuCV9e6oX6TNuAQz7pDX+EwiXTsr7qpWzefCEJuzEyx0OGM
OR9dlssC1UXPuwWin71++fXQR9YnjgsiwEmYBd+irzEteHFWZovvZgOPTiWjLLktsOlBuyKu8CXi
v7Gm6l0RX9eaoEnjGVWscrnJr+ivciVmyJ+ofQ3fCcm0sZmxGqyLBg+TzzdiAYFus+6TuyJ/gHfj
HhHHJo6H0y3jvsAk8MJwlsOYmnQ+G92kthcR29z0gg5olt45vC12baFqp9qN6ieh6vRUUcEn+rF0
Ire/gDsNbGBu7BoqFZpcmqqc1pW5Nn/OZGbeTH0Lj6OGIZ89jlYetXs4V/k3nDzrGpLUDB6oAxxj
k4ARbbeVlbuPihrmBLdXESJ2wTI3N2N8Tkrm3MCEUhOdS6OjipKm4HUU6+5DkypDtEFaxWOyKKHh
HkRRavXXnAV5Pjoat9QGRCH3SGpCxtnCyhk2vGTG+kJret1izCI7hnWxQS/Ybur0mfLfvVdmtunH
xe0a7Qs8UlqsSMTsAdyhzq+acm2lWI4IQQ8Vl2X0FZz2OGaHobuaZlvepcwzPMdu9yKfBnO/jCud
FpBYu+wqMhHLq8KaxKXSQVrZxKT0DhcRls/Yd8w2j+/ZibRfVMDDjBLtpB28LKbhBwR4cGreAnN9
JyGzJR+1cjEc5jXswOYPVWcoLr8McuMmxnAbHZWwGj/FkaoM2OxaKzskCGlvp1YJl13T47zfJLR2
gPnoXWrcTPRRaexb1UpYqwaVWYGGF8Kf2d20m5GBI5MHp6DP3iyEi3pO28qNNhlTEwwSkuJuwS3N
oQoETqhhoMf4IQrH+hHmhXafxmuYH28694F7PW9vCrcge6DXKxejESmC5Kv0TzhJR7SJWTbYH0wQ
bGMwAqUWMDIlMS112K65rhF39KYibbLeUjjM02VidFl5aTdVbNyAE5TWAVs3oCB6skp0lTUKubR5
C5fJYzfWd1dShhx/g3Vr28ZOFsMrVlUGNoLnfrasVTEUxvb/9Aav0tvfdFJ04sMosv65lXL6Ov7f
ExzNt3qDH3/pRyeFmDXHRKKOwO273MCmfPyhN7DdP2yUuoLALGv1wFgUJH/qDcw/Vq60SZfFptKy
1qiRP6W8KgIG0txczVDpyxj8wj8D6H70Kl5T9qKv5d/0Lt4Vr8B2LNTntGbWngpOmHeNAG2w6kFV
o/JAWxQrXVZE5rXRkD6N598J3pyav/kslMlvy9fvn0XjR11lywLzwFr5vKm/hpYKD19TcbDhwpyW
YdZOaW+4DzNn4LKuyZX99ee9q6TWz6Mfo5PlgITa5QX48+c1TCztylH5vBxAHj4uQkq8dKJI76Y1
XrkLLWNjTI4GuyDR73/94e+aEeuHo8C26Jlw9dbUlp8/vFbUltjWpjgsTdd9yWUOWFWCIrqctWU6
T+Hi8mJTf/eV/+YUm5wtCnQ2ZXjAuW3enuKu7dJmdOz80OTaGsUcd18GKvYFvBLRzJE6/+sPtDRu
Uj6Ou1dln7ge0JtrykZ1AozQuPtYCcsLm515MMedC/rGUJ6xTFtPvz6t73ttAu2UalgODiI2x67u
vGvyMIpUlyhcoeXlVJPXaYVsmJalpvnkjIKCFXKWBm6oEKu7SDvXg1k8UEPZox9T9xQr1dg+d7Ou
94wLzR4acxW3lxryh4+z7vzmLkCezAn4Sc5jmxotU41bkOCa76mNb09QkRMPkeZdv6fSj8S9kutm
eNFGUsXlXZKQS/iANh4BOs8ywrHNDpFncD4rcJD2pB8g/P4eC54DfaRbjhHQI7SWe4mIEsL/oHKf
INDn8XFQdd5x33ebuQ4cE0inSVnR6y3psUqTsOec9cXZVuaknZTGVhpm92p5UYGOPWudhYCUQll6
C+0985MDuIqsUszIA3tatMcXFAnTjcUqYQU4lTJ3n6qD8pjK2MXShcWVWw6VKsNuu6UPV5JsG2va
V+7SdbitJUk6XTHIGMTtVMzjJaJiSiHLpPcwuEKwm14XAhoCPKeMjaYbZewIOkYe6JAVXVdPfapX
T0ujGgcLozV7wGGonhg5DTfUVghZ3Hph+ZpgAW5SrTFfgCNPZ3pTbNTzIayejLibzkqtaPdmt0at
LwmbfpfX9KGY3enJggnV+8wwAN23oTmde9HwTatMYGaXLR/IhoZEc4iQNASc0XyRPefRWQbOWyO0
+97lorGJcB9GrMwvFvvqcxK17qY2RtPYzmXC1t2d2Pl6Lfb58+u9GqcRe93YSNiWJ2usMMGtNImF
yZfVZ7IOd+1IAgpwKwBER5cI9fyAfbfOO0Q4rtMz6dPjx3gY3QenYj0Nuqxni5cT1Uw6VWGJl7J1
qqc4gigX1QT3ushK2MPA1vQILObOwHmp+AI29UUDZgooRFVON31PnRgMFt5Qn6ebtHqUG7n/uq0f
COqJPDfWDDiSa2b1WK3fdYTcRXRv2ey/n3/Uyeb/s3cmy3Ej6ZZ+l94jDXDMbdabQMwMzhQpagMj
RRHzDDgc/vT9QZV1K1NVt7Kr13dTQ6YoxgA4/uGc70BXDhz4kj7guMBIh6gjDufm558BQFdH1WLm
nBs6PRq81/vUH+V2TsJwT3nHBZyut4cHa6M9wpiP4yvAc2YbyWEmb6NTQfjAMNjqSdbEywVArQzM
/GZE5sm8JKjw9j8idTCBlcWNiuWepnrZxLbBDzA0sMzTbI2+VLAcDNrCgcbZOKAvyudtR55L/AAe
yy1RiLksAOuUUcdFYOp9ZbY4f0gg1hJx/6Czu3kxxPwy8PGntBy1ZBZHDOZGm0WzMVB9wybGYksu
n8vnPDy1dpyCNiC0PK7DhQDFkgj5Tp2gLTh7QJP2jYuKIpJyPsYoQ67GpFFPHkiKKG1jeHSgTmjE
aL1hLVlfB1N02xYq0WZkYn9reOn4MFNGI6VHb/BtxEHvcH3BcoiSMFNXkhSSoxM0CYIkU5AHbjb6
Juin5IOK2rrxgKadCbL2blqzxgwCPWS5WPVc8YUrA9KhhsR9qFs9foRZSoULlznJtlzc4ZlFrqq3
MF8JZWGOHT/bxDaDEzCcL4RjGRERP2+1BWQ8R0nmHLvZ5si2fJuLrgcpicqvcIeP1OL/bDiX1QOP
Oa5lEddpdvSMmKe07rMDo8z21bXG8BltAjRSPwkqBJJSqget0vgZKYp10zpW+4pAHzSWLOY3RdP3
nLseB2YjiqccqOlL3hN1GYWLS0KqCVgi8237FLQhROEwRBHOY7R58oDc6Yz4duzPTrLHGxO4Z2ZG
Zviih9b6VvWGgRQSz2ZwQh6h7Tmy2kHtbaiVxdkTtv2uE+l6O2Cv53+A2Hsiyk/MmZ/8NO3+f2Ds
UJr8R3x+hb/N5Hxy7cmQW3vurIj78r+o7LWobxW05WmPWZ0UpT/j2Z1FIMkxSsf9Hc9e+4bzDsOe
P9/yxOq/QPMRDFqDGZFJxyy62esAi8OGhfDkQGksjEtVZhMfXYXaTI9u8nXxg+aYOXVw6yPd3+bc
VQffavuCtj4eXpEGUYu0oxtcbIY7SN8lXyswoH6XlZD1dkDQk/6mD4blROsWIB9ceCwAtYbdhrrl
AwdLeHFRb3ubwtNcNOsS8GGg99/iGl8vpSlhj44tyrohfYqztPPAIGzykL9Hwks/eGMaXoaZryYq
yWJF4jLlvCY/AJiStQ7/IC1qLkFlJ+HFK1tyfBLBuqPsZX9cWFpVkXSTYThgJgou4PzJMyPHhikr
DxMkHz458iDwuJdo08uDj1LniCcwO9ixdt70knPg/zwC/XSi2QU6sF76s1mmd2ROwp2c2tm5zNNk
MvVx6Un70Rg+apSVUFPtnie/0J37hrVOMad01+7QzYh/x0LHTKIkDISKYaGvOfztZVnk85WHLs2p
JGLD4PHlk35y1ZV9f5QLa7FRUvtWcDaRyZaMHQRSrprp41I56hryCwn3Zh82r7Po2vRWuJJXnVUt
73WWml9ZY+fyH9hVlANPCw+OChJOPHLIaefAlHCKEuV456lYnXnQp5fH2GjcVy+1OFiX3sgvc9sr
Qov+JZDfYUjAeAX5wWPZGOa5nVLjc+y78JBOM8NlXjNVzs+BmVAzl0VQ9jzJu3C0nmwobC24GsXA
t4c4r3kl2fqJAkUk3sVdeKxPaA95YPYcVY/x+o3mOXkheqrWsR+I/Bt4SHQNiDpMYgXcgR0uljY3
Np8tY4HqyOdEafkI4c+YHqUHf6ONsjlN0uChLIA18ahqQfJji0m6hXFwkRmJhWuRahkf2jwyDrUo
N0oTOWIG26yI4rLKtlAdcPJ54PABLFOD+CI1zwWk0hu7GiV715S0RQJLtoqY33OZ6/aar797QH6a
ngqZGl+VEWZnA+48M+2URw8hyceEkRUCct/Yl9Ps8j46b1sTK79hqXrlQA2MsALfJwFHut0n094y
E1Y6JHdveqW6UwM7CR9KaT3UZBSRMM8hsYHVk6EjoSIZvar4xHnh7gPZxMdQNwwqxk5CmG+Y43Mq
fCIr+TTK5TZUznziuqYwmDrzNhxb89atUOhIs4q8YamOanJJ44IY/qi8adnnPES3eZeC9QaW4JiM
VZSY6nu+bZ7LtSrPPPmqg1MVBsxdZL9B5SGcK68ntv7ow9Ll1lza5EtreNNr3wj7ppFoaSPMjBSQ
qjuUYQmoRt7ZlfVA5QewFQbpp+vF7nmV/mYZgNgwh9Je+7MTB0cj1z/czuMLcUAxslDAV5PCEDBL
gCEL68zI4AmMXH+S6wmSMv8mGGfiNGTRczV1wjgBIuja66EouUirlNMGNxlXpJYx3z2SHSa+C0LZ
LJKU3X/Riq9d0p+6ktWD4mPix8DLCOLXtl+TQxTyxGuPrfuz6JfgkTb9Wvj++3btn7ofJJVrCqXl
0vbjPv+lPSTCaJzyZmyPZe1xGE9s0p861HvgLJXVXHkrc/388zj897/3n1p/fi+yAhdiANhOOsU/
t6W05KWNELU9qrz03kaj6o/VoBj8z+SI9rumqpcHrH2cxZ1cq9x//9vXRfIvny7KCrpibnBexK/R
esuQMz0hOeEI7Y8GhPwQ8RSspy5iak77MWn5T7PtaUvWypv0eA73ny/hf7RPfzWxI7OBOc9/P7G7
TbPmT9O6v/3A391B5m8uW3dzFVm4rAltpn+/T+sC5zcm7paFLwgBgQXJ5B/TOuu30AeRFtoW0hOP
H/uvaZ0d/GaHvmlhcOdwRYEQ/CfTul8lDBjx4YcgyFqHgkwVfp1+kAxOMAoihhM3bBtvRa6LB+K2
4jPAERlBNhleQpt9MzYXvbdmFZ+DknoZ66764uIieHW8fHjBgzO8rES0/3DgxqsTJm+fFyiAtP7M
lv7DMCicgj62wJydcuk0by4D+LvOTOsVgblWYuyZDyhm8Ru3TeH87YL/rv73vx5kopH49a5jiMmg
beUmrEnB9i8TN9bXJWkDWXdiP/u16gDdAzTNwusi7JtVfOv6FyTktcfH5PlXygmzL7CQsm9K1/rD
n4YOnpxe7DOwumFXeFN5GEuWZzvKBe8evRSqYDX57ilGmnCxWJ3scdM7DEymdapY4eSk9yE8XCx0
qT6VbWTCmVw2M93QdprQum+QnRp4SZi2bGTuiVdk/iSG0g1s9BAwPgO8v+ubcnogQrve4yqq5cYY
7aDYJxTJacR5mrNWdcwXo+8NJjP+0wQDmtxyTSbLxvfa+qZnh0FtYMwUOo0tj3Co4qhA1rFGMU0L
665ZYjBYt/FtWqdRBQTva52vXZQxhNbFnXNs4f0yvrDw9Nc9XTkTHWylsL74ArxjYBcLtgIIqSoU
GchywXoHHWH3EE5Gfk8zlVnbPOnM17IxPaKKfJOVZEoWD8C1PttLRq7LBpy8xxg0SEho6TqPwZOT
jk/W1KS7evTn6YRHr0y29DDjg8rgJ0aWPQ/xJvMsc888F2VaHY9weDeu11rGDgqFfVWrNWYmSWDN
snYKMSP02uFrxQdydKUQxqZ0vH4zu+5XP1+CXep69V1R9yyEk06gcnBT5BQ9DM0NvF9rb2I/2vfj
7N5hFDIOWgQ0yqmQ+8LM9uEo5ZY7NTwx4K8eNAMbZhHw4846D/Jt4I7+GzON9qgx0O3Csh2PS9Y3
eM7FSNiAn4vF4/HDpASwTz0cgjG3rmLSQc5hYNE+oxA+wvjHploCsf6BoUXeEu8NUTir/eqHoKJd
x2ydDTAhI1AztJIOoZ7Urr3x/N7Lt9x7j7TezBSmIpsot3Mk1POj1VeZajcd0GFiTey4S9Bex7W1
Cdqx+KjzNGbVOvb5QZjN/ME+i5hJWaCdThHSsVy7Hrqwz95kVpbtMaylI26HoY/PetL2qTTtXH5d
p37hZXFF86Ypxwi3DCcFk94C2Pi9jqccfns4kubrIc3MduPU18auiYPlmilWvUSDCaR/N0lDZ4+L
3SwL9pN1RWywBINtXPdVsiXtK2m/OSGxBZtiRWps6OZr4HFzYR41RhIeBWN96dM1hrLDPf9GHoR9
sqD/rdh11tELPewD2dnrYZjy/gud1be5Jl2VoNluxd2F/LZ+fW9IJtzHPtYWBjx3iHHLS2d4GTPY
vZs+k7x6Nof62DVKHzOIfIDzXHomKUJWn67EBZbO3Mi7wZyUwexFTe8mq3nzGvG3a96EmJNYpIMm
fuuHEkAEzkHNcIijHE4InxM2G7Eb6RtolIxRMvQV+rkcbINAoWK2dYG0JxZxqbc8CazlzZ2m3mzX
tbnJfxVM1Ryuo8XCQ48vTM/yK06xMiM7ATzu27SM1OpLr4erptfeTTdYvGLZyMbYz9OY5RuH/LND
F4jydqlTpmZek+EvAZqMpzRLxC2hG9xY4MjL295FgoYRzSOLMliIFFSNP4qNCdW+ulSMnklB4xVw
7VY4rGoWRaTz4XzKNxiB4mmLeNL/Zsh6RmKf9UUYIWCprW0TeAtktJR0eXgt/vzaWGT6pN4SEtTr
5c0mRpaMOF6JXTEPzftgjV9sNXsnSeare2BiNN9PXmmXW6NwYnkI0qDDahFk4D5FAxvGcYnlsSaz
uGafHuOWMpb6kuL4fxLFpPBrpBPEeqaqOcGbVrpv5mKXi8bQUUkLd3GY3aIrkOll8vEg0PnAflBo
ldxdoHoMjEY5nuCDE63CBWQQJMj74i2Hy9YJO9oGGk1frKk0QwDQRgiSyEY8YwckzgunnyRabcs5
nkQkujp7FXPgD5U9vPxP4fj/ZC23KRz+XeF4fJvfsuyPpSNC0vVH/i6ZdykQV7UKbZXtWi4+8L+X
jrRYv7HmddDKI6nnj1BV/r7oFeI39sXEXbMsdNgEB/QSvy96reC3ECphYFLR+myQ/zPJ/C+60lW7
HbjoSalPUeA77Cf/3BJRt5VQNxPxOAwteUMtml0SZC1eZ6RLVgOtk/T3KaOk761fCFD3hfEgwo7r
zzGWNirBvAIlV169oZedt4ZnQbE22p2r2MQMJmmT2I0TdHuGbDJkR4oIQOTh9qlJFVoJ9rS71mJ6
B+JF3aVhPRP/ViyHRizgYRCaHSGCc6yS9vqDACDNTe7Mzq3BdutWMbBnFD+M81uYtMsbFLYlW5tq
34pSMG3oIYqefD2WaivBun2fRJq/jcm83CEusWB858srp1tP/GZS+BSAevwh+8TaiLZczwyUJUnq
3aPNotEHhyS+TNj/ir9oun9CFf/RF/78CuBbIuGmweAZ/quAutKOkxvx4D3qHq0PU1t3zSVkaBU2
AH0ISulWN5eowrvGb8WlngVvrfWCxo2ywsRMlObLDtBqcwr1JK91TFizmJzmw8oK4wV2/fCQLoba
uVmeX0/uSGJvkGImRjMSHJK0b/fTQDpHEPRfxtJ2j0wPLyBOxZNIxQFZ3geQjO79DzfJ3d/e3R/N
ET95BX960xj21wsYbyVxEf8EuGuxiySxiTSRwWD8aq3ffgKw/yvtDWs+asPTlNs9zuZ5hFJUE79L
5IfeDzz7rolGNN/bwuJjCN1Z3Sa1U5znxoYts/C/OluIHzwzrauEHcxtOnlEISQdurYgfk4cJQ4h
kPvnop5lRN6geczquT6kRo8jXBJfuTCY3Wmz4pq2R1Nemdr+qL3pMvfCOo5T7B552JC/RSD3NlNL
sVPuDGC+DdO9m72WqH/OjtPM37O0sTeIdefvbR/b7J2Z+fajBUY6TYkik9N+BL/zwE1Z3PjS4GYa
iuxY2B9kBuX9xot7b9gWuSZA2wHixFNUTduMdOsVeRQeTN0LsGmsLf26RjtQ8y1t4F7n1xUu0csC
b+WFPKP2R8CDl9jreZ0SY/fpjkr7FvHiw3AMVZtdlbhMrn8K/4Laktdo6Xhzwp5YHHepzo9Ln5I3
op1EPBjZqG6H0eIDFRlBWzrQTDPWe9Mo9H0l5+EFOD58B8bXF8fpibBLlPoLYOovZxbCggAomWXa
Nhx/vsufwRx/aCgF4ZZxws7qAe6Nvh/DqT4Y1lA+YyALtr0/hRFhHlw7VNXfZxHoiHx22jRnXtKP
nE3mTQur4NyNZvfidw55S2mJYTNov6rQKbbd5FVfqo6/pZAULYwy7frA+Ni6NCT/bkyq9N3gJkRa
sjZ6UGZP0+qzQEViYCzXDmVyxHG17CX72vVAbYpz77bUre5oCKa5E3gOTEhkKxWNvv952eLJBM2V
ect137kWXWQTfzYsLr8GRkXrnlvDS41I5iYbMkALVct4DGVwnb3XZnHomt6ookmFUwr9bPIO2EHI
ISMZILgNzK5Z/qKd/+kC+setu3789qpcwuYFsRXa4Drd+8PHzz6J3BOACg9o+jxjOzLfoEjsjMec
Teg1hlziNL1uMJ7yJaM5IAUgbK9VjyHzQHQ4jxebe3Aix7JjDlHI9q2QNJbw1NBIRrDB49feWXgz
SBesU5dNxv7fnz3/6g0w3uFleYLnsljnMn98AzVlcY/D2X8oIS/sVG6pmw7v8r7zYmIzIQfpfdzN
nBdinU7WqWvsvKBu30zira6s2Ys/ufdsDualebOVbxFpr4pzKtop3ndlED9BPqBDSOukDP5invHz
efzLh+/4DgMnBEz4VX597TNyQ5rX2X3Aok9vMwNV+eRqZvZMQwIgAnnyda4GdVvCwTiM1doaiLr2
WGJm8txUAdyyUPSn0p37U+N3xhMD+vBAZgipwdg761sdDNnFF7z/mdRqsYF4NnwSatvyFWXOOxz5
6QS3MJBR0WlUAYAAa8KW/T5qc5dQKdFzDE1T/IKlNz8agRGcUcYKYnN9b09vkuwxdqvX3quRbM7k
1LL17gnH8DFnj0KoH1YycF6JykHkOUCm3rEoCfd2U7wT/nEkEbdmWFK07al0ZPxa+9zq1ATq7uet
F5OP+9HH5D7gJ+AfEshJC6p68QAbY5m2FVjsKBRd+mG2gyYcPo1fufLIHS2r9QRZPxqcz2fSMvS1
Y5KusHEqTj4SJAgGE1XxZJIchk4CD/BXnOPfbeK4TrSV6lTMxEf2vZAMP0pxSRUpoK5fqpvcggLy
FxcCReKfB1vUCjYjSQZ/nNlrObj++z/chpzV1TQUsmPSh2QhWkxuMKRCnM3lzOpiweNLZGjMG0hJ
Mt5TirVvnhj1PYyeBj9INZwYO/lgB/LyzBRuICulMjPSsYn5rBiX1Hu8++vtavnm+7qL/MLxP76L
2ZE/psx3jG3IJtzfIjhtWP9Tjl0Dg3B3ZBcsXAfOiqehsYrLPVnvDRRrDTcySAy1XXTrIzuvvoC4
Ix3dT4elpK3ODmHnGfc2NxYaggmqS+fyWOH6Src9aI6jsvRwcLhrj8AF15Jz/V4Bb40vgyqOrlHI
ZatExljFXl4spBqEjAWEuJlLWq0pkvUhTBwu1lwMTgQDyv9u+xBIeimLc2PlzAdCwrI3Hjrcg+5E
2lwLiBekOU8F6cPSzp4HI0dLDOwLKF6TAQ4YAnzYgPA6ALopdYuKKpvTYDOkbfpBCqoF0WFeCxwG
/WczUDyqhookaFJ2k42NgGQ3qrQyebsFR17ZDHxQkJT43/E4cRssKabxKPBYg2/ZadZPCblJaBMc
njrayu331I4BZyaW1xYkfY1r+RMu9wnuS2OnGbe9VyXm9GjsKjR4nOxmZNTauiTuXJwXLoRgA82+
uTII220iVIT2KsGGG4ToRd+TMBUTQurn6qGntjziJgrpLwetP4VXBKdg0saunAhegIgag2o0ez3v
HImnKxi8jEFOH/ubGT0EnjLiMhqiq/vtGOIw2LhtDFPP1uWn788PIKqQfrmUrWw4Cb6Kyrmobnw8
R3eiQqXHwyDkkwkXff/zafA/K5Gnpf3xf/7X20eV1Ti6xj77Pv6xTaV6Wv3R//1K5OmHehv+xU/8
3tiGNuwzfK3YpuCc+ezT/tHYmt5vGG1R2LKNQOkqmLn/3tiCRWPvxr8SnuOgwl37gt8bW+H+FiAV
ZXtBhYEWmE3Kf6Bgttik/PmA5BHpOvTHPjJLfFb8rj8fkKQGGrJrGiRdDHFfpIG/YiiX7z8DEPEX
dLuUqnGjqqZ48OfgmgaYCaXMu8e2AS1s9sN5WjyoRYHPk6AhGnEh/SM+yNXGTEKJ8cbekjAxrzE7
xFMx7kQWIAk2AJ/IjHvHyQpRbYyaTA2waD0OpdDRZvOF9HOBQomCucFgUoxtex20vennkSlJYQX/
GJIND1otLnJnr3ViEpjRzn3ffSkDzlccnHVVWmegnx52WgGEZOenpjPs09IR7Xl0kozHdk42lLly
vBfUvZxU2jr7zSKeHaxsKGR1Y9E/jk6sgkMg/MU9TVnjmjExOJmfP8WLgceNO58HzBa1W/OW13Hw
kXg5TggtBiw5OyzHpvS40bHCPbJvyNvtyEsYDgQYEFJq2vApJi9Mr2IegOjicMYNe8nwXJIlwJx9
C7PjWCUNQsI6G5GHkKF2hNwWADUN3NeFxMdNYCfpkbL3MWGqzJc15dedqJsjnN3nvMngN48zwIoq
hN08J4zpuypJXzKV4ZFZZHZCd3ONcxhP3DS9DAmQs6kcWOerFCObDDGjJN73UcUzEqH5lUnIEEFP
jQplE9VaPGPUXwHHVn5mePKegAnd2XExPepggmeijeow8ZEaNnFzrt9iLvJTfx+I+kDqwYPU2bNX
Cir5bLzSQ0OMWJHcaKaUEZaN16YazpVs6mMxMon2M3urNG3usLRA/VrT2hP9cpcm5NUVonhuTSPb
Tr3R7Ejg/OFltXddeTq+m8MG1S/BipuQmmszQFkmyKg4ONKxNkrLW0Fm0FYihOMZAULYgdVxAXDT
XwcjXavvOubJb8ieq5V2N4gW0kgPXfCeTULi7Hezd9g76qz6Zdm1nWs8MGlZAX/JD1YEza1rjI/u
mMGnqrAvIqWnXs7a7FgXnkdeheltGNMTVVC7dLtMok6cC+meIinck5blQIo2woP05h+NW1QkCxKm
HXN2bIqEAiyKVfbe2E6Dtgp/TJKg2gRCPWybxuZ5XkM4c7VBU2vCQ7IMoGKBUE+WW5OuUxbPRhmf
IB8j1R3abkP39eJi/6R0VPk57VwG+a2TfTJu6b9N2o9yawRSPDs8u2UHCRq7LNGxspiuPNRhqF9J
G97awJo/m9GD7SvROLi04oHJ0iGXGjpQBeFNFOb0sFgSKV7pFO0dOouqJhmXLKEWSAR1bEbIt88O
LbLQNj3hCR6j0bR0csjyRpzrKemRq9vEq225sAq9iefx+1R2CK5iKe/yubDQgXJZJKEs2c4otXx0
MITMXeI7y5m5fH0UI9ik8IAvN1OE5XqUJVgs3HWrOI+fVtfN5BHPManSaprSzyUf4Ash9urYc5ld
O98IXFuvg8vVIlaHHFtjWZlXYIgqYgaDNiK7UhyQivLOipnRRk5MO0ktb7kC8tSYibFzbUnsckup
bLadvYtDjd4sQatKQ/4VWmX47GcEDJe58cYt9SJIaEeBWzTIe8bzaHTOTU5k+7YvUZnXRvYRD0G/
zUSbPVck/RJx2brZtegXaaHV0/YWPZJ1R9v1pSsFRQ1emXV4WTZnK8Tl7NvyIqesfXDs0HhE/eO/
CRRy26QI0dZUIW31lKTcxjOGy13c1AqP7mJeEx7V7MZ4JFR6HMcbDJcNsUIZW1jDXA79eteyNvDu
Ky0xlHaIxgxMgGj0JARhVljZMhxny0zxaY16fZboAA+yV2PEXl7rqXGPjqzC770Y7n212l2JWyaU
PRi/ektesWU1jZ2w5ckprWBbTJRnm9Fqx8+4QRaZG6NxtbCdRFo1WWi28Mow3mBlg1iLMEmL8yBY
bjIiZm61YcrrJcPAXy8T+tBaiY0a0DpJX/wUjEM1D8kwNxmYRGG+0t+s/oBmv+cMHq8RZPmRhodA
lilhfiai3tNYkIzrzb27wavwMAWAqouAzqJBb7XhvYXHTqkDuY3A3QA5Riwp8SN6YfV9aRu5M1dB
1mQZxrYF+LsFSIDAKQzE8BRmOWT4oFi23QrqQ2d/Cg3qTlxvn6rzvyBHbnY6nKe9ObT0s0uIFp6R
2y6tFbDjqVJno+g+ZKGvyzGeriy11uwzNC0IW/Utbgzzwnq72dXmku9pH8yTxsNyNFyfDEqsoojk
yY8LEsSKRsB7ngoYwfR+nHed901rJOM12kNE7OM3QZ7YFbUsjPwF1GNss6Bql9y6cA0g1M+cNJqL
4pMdU7hXrf6GymfNWA85y/LFja+xs8eCvT9HfxEm7yQMUOyWY38XFyKOUmkN4AsJpUlLiPeembDg
cj/bsPtBw05n5VIwSOW8VLQMUVUMCIcD/irdOyCUJzV+9szYI+AABWnTrIP9YU7vCFHK70PRtCcz
EPqCdYKPwS9AJlCSc5gC1Ad5/BIsDQ+M0X5kNFVHMlFszlXAue5l5TsbeIFKYGlOE7EL+1z6S1SH
Rr0fcl1dhCXICli0E0l7eR/ItN5I4dEKhLyGOS0g8IRd8IxQXd8VNqR5nqYrhz/1J1XzgbW8fDkW
+Su3fTFerxrYp853+VlIJo9oK05eqfColmFyP8FOuHOJLXqFBP+I+GsGJZHcOOgLj3gNEjDTac5G
Yoj5oNMsdb7Qf8CwdFlNLmOwc3TsiagbfILNJzkvW028G4oCiXYjaQToPVW7TIWLgsWA1dxKGLdH
Uyv/iGk/+DYXA4AyU30nNmi81aZt5DspU3nMsa+iX/QkEtpc1Zys7ShJ1VqYP8hwzd4icKg1qwfi
O92HGXepGXFqGpQYAmSHC+T/c+ihJ603asJ3irQNlgo7/APoU5dbpmZPztyHsX80Ib3ZLon9SGD0
FPmjeWHynn8d8Ge910l3Luc01tu8gb2Oi/4D1bT7WONv+24lOeNDjZGLxUw2qVMLQKbbZEWaTzBv
F/XdLIMSUN80PGqgGKeYw/MaLWl5CGvvjsnGVcwm10ekKRp1tAydczl70v+IEx+7hhh8lJxu9uLC
KoOxkrnbvppLthGEJbdEarLz78AjNKPdPMBc7bNo4aO4UYUImAHGYIdQS0zJVvfBWG2lGpbbOgCp
TxpmDil1HvdM+tgi8boOY+8Zh5yNbXXoGBG8cJoVLzzipq/MRMzHIh/jo5n72cl0ZyreuPPOXc28
Y5MZQwzU25vL50SQm3BFnC3aCZ3255CAEgLpTfa6bVaGZwHMLkorZRXrjKNFHpqQ7WoO/f2o1fhi
BpogYoiqx2BowitwKuMtgL3+C/uJvuD+a3JCCZHYFpWLvo/qSj+H/YiYnfZhmJ8SixM2ok+aQiLn
Wxu4XNkucpfl3A9XpInBoAhAMn+Z40B7X4lDzvRWBoonKzlLITdir0bmsR56H4YE3g3pwSlUVtgC
FCvTY6lrdl9DWhvXZa2y17hy630fBxVBclqVJ5CFKPSDHFyy4xRGwDZ5ruBXqvhe8kePquJ4hQ33
iN4Jzn3dTe91VcPrTf187406ueprStKylh3i30pWTxZAig27IHGYMeBcyDvv9gs82G2TdGXUGroc
Nm7fuvsZT8k9zoO+37oa+GAus2Inc2u6VDXcH0fkNTxHldwJ7DKQA/28b26JflLuFraj2XlFxIxR
UCwwIg+XdWEO7xLfOeVmFkzJhrzJ2XlsxsQr2IVMSxP4/XDMw7QKN3OORuaqVI6B1Di3dqVu635r
DynnqApKRenk2ccx9dwXgTpg2uo5af1jzyDSesd1GUMqggF8ySSBdODhzT7fIQyat9jk0f0Whg/8
KB375iJHoz1OiKoeFJu9qEL9ctCul27lCNCym/v21HNNbkF6ZBdmqlkUi8n/ZJ3hfDehjmqkJYiR
Dqpqn4aCOOlXy1pRJWhersd10hgwn3G33hAEP5qgTY7eVFGCW2NqRF3W+886n80d2wZN0slAxMIg
Bv1mUlhfzfgJgQiXN2wazUPDX3vWrB/v2zZrv6ZM7B7m2XLPGoBoxIC23bqphdbKSivwQAVrowbQ
KSyKVXdSIHXr+7y5cZwORgiv8ctAFcm8S7FNqq18l/Csozjvlh1j13E3lf7JaGuAjDTuD2OShfu+
MMWb6yjnWBV9u4kLTibGWcHGz5r0kCW2ZDC42kYyIJCbYkhnUooNeSiFc2srVpdm3d9CVAVwPZqw
JYVYjp1VEncyTcmloKXFK4CSfsd10+3bULm7bmGyxrZlDVjJs3Q3E86OTIvHOKmtxbeBmn7ThH51
NDL2f8bMk6SePfJVkFQOkWEaLJpyOB8NYd6bOvSN29HWC1PK9DjBI7hWxVSj1aih58Al+wkFTn+0
redcxzFrScJrgdgyu3OKgYN/agGws5+KkPNVu74YJQ+debln8xXeSJWgNakz71gApNyJEpeSOTTN
OTOtuyBAwTIM2I1xMyRvEGFyMkrJ0KCw64KbwujIFa7MYmeVQH1JwLZfE9D4G+R0mDgq3KOvRju8
djZRlKkMDg4OUXPTtPIDavYABdLUp6VCZGXReGZ4s8Zpo9h4REthM33wE8SVunzDqp7uJN8WWwj1
Fd/1FaHmDIA7FGXlV2ay6/U2mc0Org3CNWXb7FpQnZfYTs95NgATGxSUhcT0Imrmn+NL1Nu71c4x
JeBYL42X11wtg3+wAJREoneyC8jN4o75g2luJ0dNwU4iMAXCSb2dm1LAfmb8o4KhPYXQ8ncIn/Qx
yQPzx1zTouVjLo+VMxJbanTiHpgqE4G2/z6majzDiSBpDo3lmbnWNk2XltWKh2VEGMUZxZ+81wXj
9iTr3unXKMUgXqPl0Xl1qqdWEnYPTehFkkyB9mm+tuGVPFNKPWUG6eM+mSxXqYdhrFOawrFJ0ZXq
DgHEZPTbWk7f/i9757Vdt46s61c5L8AeTCCJyzOzcrAshxsOWbaZSTATfPrzwfLa25b3lk/f9xjd
ay2lSRIECoWqP0invZoRpNmkufuI8yuqaZMPRRCBsO0svOhDik/4xjMWvPgWTFuXfvUDZV7IcGvh
XtQ6vcys+tOgEPLQffquC5zvHpH0MGuyozqhI582LsRYpzzzptr/2uPIu7OTzgN8Vj0uwKC/K1VZ
K1YiUTBsqHqQfC8QcDZrUN1HekAfuElySKcqij9P9ljAmpompFOlnu9bXKkatNxpWIFsnOeD6H1A
G/BIHc44izgWMH7vawIWymQeKvM8Xhyi99qlg8VKqPaBXWDPVZNKrhkoUZ3EO16VCq/QUlE3GJWQ
WDuFZTCQBf5WgQt9aT/hbNvvRztV1zAfojP+gx8VdfQdC/h7P28IHlEGl1bZVMUFmyuw0ue4UGN7
LNAd2UM3ocsbQv8R5XKO82zBUnceURCnUm0E1UfX1AJVnWy1xBwqdALDV0T0PM4ccXQFmTAaPoSE
YOkgceYNHi1T+xk/nfOFCQ+QRtlnRWJdYfhMrlPCc8nb8Fw503CYPfq56CqV50pQ/mslOiQ1qf6W
zNTdxn572SXTncwhwqEXvhtjLfZyqe/obePpWunwDIAE+vbWkB45u1BARM31Znb9D5nj96j1Wvjq
dAGWySWt7tRWyT5rKgeWBIezTow9ogiJTeViaDZ2Ib6qOZZ3o4USDopOdLsb/blIHCpng/YOYQHz
Jx+8L7GYnHdzJIpdsOi52+ZjM38TfTi9I/YhGh8IkJ+oE553LcUo28m3Tmz5V0hYW9RZMJPedzZW
zTKor5AyQ3ll9Xx0MLFUHvdh4lRIntkp7Q72RwdWEZL3Wj31TtN8EsDuMbKy1vUZncd42Tq6sJ6a
oOpuQru0TjkbHnLRYbicIjxNL8OCI1IoIUntAKied5A6916l9RfyLJZWgn9XljvRTTN78dU6pOOz
lQXfk87RCsaz1Z+3lKHv1sWPtyLD2nirMnt+Hy1ivHXd1F+vuyVqYESHVXOkCmpk1AZP7dYVgR2n
AfKMwFe27JSbgVPNVoTnM+WmnBdi6xopbzFtBZvBKYunB52I92QI4l0bJw3wbz2cWAd6H3S9w+Eq
epwjzGlAcLvvErtUW7qlN5HTx0/VUkNJrOJoC+zMzXalIUVd0LEMvMuyprTaDlN6QQ4xLIckQPG/
y7NgPPdr4s8mGGyVH5N4XkyRqDR25lFLTlNBHKs53JDezY3CWAhpu8dO+e1F20ao+KQNqCdgrdT4
tMrjrSYuQKpfpHc9Z8J+mPgARMQwMf0wFgNmFiqk3eRRoMZLGYWiK29UOGkxe9qtrebhiM9ydrkq
pP93bFgSOPKYkDEhpr1BVwq2WTeYTIgo84meVPgZahyacMWYDycVpXDTrKUlaY18GJWJVU5bP/KW
d2JUA8Unu1ABLC1Io8q15CP94uSrSJMcuHkSJwvsO63vdTEtBXKaVbZf2wUJ1LDn4I18dQmN0K7U
bvLU95n0ek+L4E5bpPVrH8BQRMR5J9SILVIWt3dLMrkfcozHF5C5BOy1E85t3zboGKJaF933omM/
JZY1t+VqoQjvZ+O5h8npuKlWGV112ho+QNK3r+1q1kdXIe7F4bX37noQG/fSijm+IOksLxC/dr/o
MivOhz6a3rmuRzEU/AWrtKkJq5tKRLVLzpimu0z0uHRAZWPHGmeqghuvk0l+TYUfzjZ8XK+8yBGa
F4chmAVvukJ+e0BsercU/e2a9MCIA63cvdELeLDXMDnPfUIlhhz6e4lY2KfY6UnU1mBA4oIC03Uq
JUIQSZ61H8ZANIfZYtdNGp/NjCm147CT7e2kz4/KgjYKa7O66NBtPJtme9gjxVRcKqeGl1qEjn3Z
rM38HpT+ABB5gV8H24E2b4dDo5cNqPYXrboWeo5OVeoke+T41HHubX/rKXQYUcOYh6uorLyPVG8t
NrFZPdjkd5e0nufDOJD9U84MqdJY6b1O8wmNXtTCFnoZ20T11dU4yGdrcpw9wSk+BSkS35ZenSs5
sTTA7af7rDW4Rye6rZcAbr8W03lghesM1qvc+QD9mTQSg7pg6M57iApXwKKLSyR5v9TR4uwnFKgO
eaSfEgT3tq4PQy3GUCHdOHFFrazTj1bmxYcQcAsIQhQ7LSb6MUUwYjt1Gh3MHj2LbVPUSMNKBDZT
b3F2AK3CzSAacllQLZ+y0ke3fEhXYF9LAB/B6cfbKGyoAzuyLHe1cKfyfhFphqILm02OHGRBPWsq
Lq2w3c2C9g01VodMo0kPThEhMoOYAH18vm/Hd7236JsZmNrGnYpH2bsfvYRgLax6n+EGavQ+n2Rt
wI8JDY8ZzixqAqW9g4beHFyn8E+zD6MzyZHVAIze+EJg1Gev4BXWGy/NQNzl7QcUQ/PbIBlPseWe
SKyG4wTj47MF7GrretZHqIn2wV7JkBec148KEPpmicanSubt3Ty2dyCtS40MQsTW7piDYFpaNxGd
9S2aW+lZW9vupT9ZX30rHK8at+42HfEfea4VVTtf+h9hh4yISCyXk1LLWVf+VJf+T9v6L21rx7aB
a/3vXev/Wz59eaqefu1bv/zJP1Q+4NgUSSCEOSBtUYICqv0PlS/6F8AqRHYdI9b9g5T3X21rhLeg
/pED2Ebl+If91s+2tQeI22VGU50kZbGZ2v9O29owUH+BdxkkNjJN3AXwbsBpr8Ww8AB0/d7zrZO0
LIIplaj1NEq/f/hlTP4H+K1Bdb++TIhIGHUJ5MJc06D/FTu0Oj2Nk3WyTjiaIy3UED680Y5uqnnC
auntazGgr68lIfvSgIfyGPyBWONd0F2avPiknUbe2EE3XQXgTM5phqOJgLbI37yzvT/4kEYfGYSo
sBHYcjx4lr8/HpuRaJ2wi0+Z7mKUXtpmuGxIFZpNY1W0vSOJNA74Rs892GMyeST1Za6PQTPTum1F
Mm5RDoFfTy2a4ADd5GSg2PRVZEc1dcm6y1b28kgOJo8/5EcqOPnbOl5qjIic6q4sSnksrW54j4RS
fS4nMNYWAn3XsR6ya4KXAJmEIsURKdzqDEEgvW+HvrpzLX/9JhGeeExh9T+GKrmyR53t57Ckca2A
Kq+4PFz5vhtE2xTNiDu3H6vvq7c2N6s35+9dm8Mp3P3yINq03jqwWFB0rueT3WCp1YJpOkYTReSu
1fMe7h7kn8HrL0JnaK47FWEHh67rk10m1qkM5paaqzWfWl1iVeovMqbZb7nNcx9V1WWwVgv+tGs6
btAeZf/sIp9+jMsWUlhyLnZL2oVglcnekrn/ZOihur9Ma5UfwjpEzXWOmedbGxCB2theVX8Zu1B9
ysck+pDLwr2XiQ23cbZ7AOic1Onyyw5ZW9NyoFKdZ8uhm+i9chb30i9FivwC7rZ+eWOXWEAj2pSg
nwjVkwZZPT9iC4l9bpx1O9ctmXs5ycrGz3Jxk3nOfbpkNuWdXN+nrQz2iIl1nyr2vEOz2APNNYwD
Ngvnh69dVaVH6JHP2qAdErgVFwmCS+wRq0hRAGVw0jour9qyWj+AWAHMhijtpb3GEbQoSsZnQT3Z
1q7IcjrRFjgTn8oNJXXbP01z3e89nRWXdp6MX5M+GL4UjqbWsSZU9fbWkMlzhqDfpXHw3A7ldnbm
7roubXaxsPxqQ2viTOtDFiQBKorkvezZ29pYlUeL7Bct0WrZ9gvnk8b1bVijeNGFarjIseHyNsuQ
6C0kkfwJsGHML4cItY0osTcB9TnKY/fxDKoxSPtbsVAF3ACf85narB4826Yrj0MUIlvTt6VCSUJ0
1nBVuPX6ZVgajZWdEl/UUhQ36Pi6u2IdhvuWjvy2HqL7tpXZfhTrR2vsvGsUwty9q9f+mswIzxQJ
NbGu5Qh8QU7Ujf07hIc+hIAP3FNWRPPkbwbYz/qZbgaH3HgaRySxR5r8SCtECr7USpVpVyRVgbWX
O2pEZ8o2WC+judTLGagysin4Iq1tb1BCSdbHogfhiOCYO/YzuarVtLtRT33+4Hd5hNAFdcElmuaH
UA9UBh36RjsBhJWKQFxk1FmQruaAF9WY6k5rEKK54SfRAdk5V5yhqNKDeistHdEoAxeLTUs1BIek
mNfkfioEv+mB1E2ug9aAAJuqq+fbBAoNOEbKTH16IWNDpUGPbBafXJUa6z27BvC6nzuYt4/5OFvi
0C7EyK+hkT2i6Ezt5BwL3WTs3hUVXElsnWVffLKEKt7JqcqOnY28ExcLxWmyoYaE4H+w6/Nc+nbz
GHjn0HkAJs7rNOMaZqXyKAbPO5/duEUjbxEnFN9JIxfAQ5o2gnTgjlAEwsDOfDuMg/id1uP8HLiU
XDky1rCkC5SVmhIiz2bEKoOKLJwb1dv1ebagOjPQ1EcLrAUFRQ92RprG96l4gDN2Dk6AIXvZZfVe
KDlgLw2ucmPptOINxPLz0vFfLVDFdxQAY9oqtTVyLpvm6m7xfPUNSlaEOkgMgaFwfbTu4AquuzHA
KXff6bk5QzNZ3pQiC55KPNI53JaTg+h8WN1xHDBmIlHFvVnYaAH5sobqO1Kx5aNHU/y2LPJg3UVr
1bxLqhQJD2ToRoA4+D9TLCTL/7G3/icL/EsWGAZGM+R/zwJp8Dbd09ffJB1e/uYfWp7t/sv2PSwN
8YxwPNeQrn6mgY4t/4VECIoBZA/SFeF/oxd9B/1VF5FVfDaM1INLXvVPGojfqzRoxyAUghTSlv9W
GvjaVAMAJIwwKcOIy3FeeJWgGR9Bqj8opEcYKuTygLFOpMePHbKIdXee25hStZxEoyjNj2E/sIlc
emhQz8C6JVzDATNr7avkHP37qPCuasv17ECjGpAmdk7XkdXTH4E1AH07UvkUWXYpEhQA2CX4bszB
CeFj6b+3xTS3YHiSsRqX9JL+jYBdgoQTxt9phKGeNUGNqM7BUcNUxluqzDRgp3iyP3Eoiodtw1lW
6XeYjpEj7iEyzeEdrP8xlTdZNuznQSKEjPmeSxMajXZjizh2q6XJGwin20Qg9/cfFZT/8/+lW+zY
/psiKJyd+uLV0cn8xT9rxpUImriUG7C1MTI2TMqXNUPJ8F+AZpj0+MDQnv5FshihY48img1pJXoh
wP7XkhH8CAgxP/WYHhx4/H9nyRi27C/nDHM7jutQLENfnedEjeX3pD8KJ12htOR/S+1V5d/JwGK0
5mbYku2wGwZ0FR7zMsGArNdeiWNir4V4XuJS1ZdAYZvWPSjLh7ZTtJFFhgny3WhgYUGfLu87u7Jy
0hhfBWsAn53ynQWyZWqNvEo54jkObXXs3RtEPVRIZ8+mXvUelSNUhUpSWspdvpaZi2voaIvo6PX0
h8gpSUBlB9R9saL4UE+5gTPRlYmp1f4S/m5fjna/8i2d3wMK6A3oIqa1wf8Fiefr0aF57SA5v4pv
qp8nNDmrJEzLYkPmx4FCJkJyycVBMOJ7G3SZfvAhJ3NrLvkFz1Pjx7C8f/uWXtGwuKUwlOjm+Aha
B0Ti13pIsDDAXvdd8tVB+rG4AoyZFOerP6I5CRszyOZiQ5iDRIRoh4rGTZFDHjZVf3RinhpwIC2n
i1FY+TkpcG+n+zVOVvry5cKr2A/g7ThHdUEM9RVRwDa4XtcCKN6eCMn5cENZcQTv9fZD/X5+90Ob
QSZeUycQ4OJZC79Pwjgt8KUoyvqbPQO7fCfqzGruqzJu1tu3L/S7mJS5ELo2RsNKOFC4ud7vF6IT
1so1WOKvxjeIyKrKuPDtjWuzwvEGyP0b1A6El4JpESUewwrfwume/LTOv799J7/XEn7ciWCXsh2B
8iZu52ZIfuEh4cSt8XPJg68TCM3gWgB+w1aowwIoRDUHwwxgXW9f8Y9BZs9GPf3HNgut3oSoX69o
OYkVNriLP5dj2zVUPrXCNhVA7hoj1/j2tX6vXpinI3D5DlwrIh8FjFcvlJZMWahMuF8XaGmZ/w2z
FuQ5z2KFqM05Us1miEsdjOPfJLT/fEjmUGD+B9aWoPsqA/C6su9kXvTPi42C0kpH3fgFxKBbGN23
n/FVvcQ8JLLxLgUPXLwI3varAc0hXhcgfauvPeibKjzRe6/fl+hitlAEQpof6maRa2xXl03W1YG9
F1NarI95HyrloYRMQIw3+MtW8i7PMedDXHaq3fKymJIu0qdx9n2Ye2/f9B8vBlUnIXEO5O3Yzo98
8NdJ4Eg8XxbXrp8x7Oy4i86SRf59whdPfGyaKqCgHQOvH+K/DdafL0byVqiwkAr6rvM6bMWWYy+q
E9aXVViOi1gsxuBjv0XkPMXJzPHoG5V0Lf0ifMLvGSU3KvNdJ9W2shZ3esgqUHSY3UfLOnxJgMFA
bawDV1+gdOj3f1P0Y12wGP671GeYomSkcO2JShBxqIX+vljI6lRXjV3zJY0yl6VI/2BYb3va0Eyq
VXP6nY6yp5VybcEkYzX1te+zGdQBGCbOt4Wf6GcmYJV/D8BT8AlZjGgmCt0OnmffXwKwHyuii1jG
JPjYoypD4jdVYcFMnUDF8HbqbgjYhmuPfjbM2Co2Idqi58QFXfydojsMtIbl06pZ98EG9APAT4TM
clxAN/aaBW1+cH1kQucNco+ZKRz6efUtmEeHJr8HmmK9ZflL8bHOwMw/dnRluEdH5bKGwFaPzke6
HyqnLYca5/q4Dl44PUxdG0z3fc53Zui6OREE8zQalIhTQt/k0hUthUJjnKcsFjpVnIaHaeCwAPHQ
aR3UArZe7vKbgQMeKAU2GsLvO4ppSYe7gZYvm5lu6aQP275DR1bv80RyaYs+Nr9O1c5czUpgfVx7
ssBHqCUdn06xP7XZVYlmrj7OTr/UF0Du9Xg+LjC91XaJYhP5silz9EWEliebpR2jJ1CAMY9dVpuK
KCnS7QGiSBf95wOInM7OjFqlLY0QFEcMBlTYNdOvXxITxErYmxbE/z4O+FcWKpy+YOHSJv/nM1rV
ohLvZbGA38eUa+gKe+kqGIPRy4AEnRaVEhwRaOKZkpdR9QsEuz0MxxWkxtM8D3Tua3TUrHLrpNJc
0bNCsjat4oBhUTqEuL4j0Jvp0mDrm3/3sHFj0uRxkFf38KDwqj4AtDLTRYncZU1NtZTMmsSF/aG3
Hlp4/BU47Tg8YOlURN65hXWffm4xsGEMmwVr4HIrCIxO/C4q7YAxWcMxKuczIPoT7TUkhkzuBkPc
42eaNp15iFyibX7V4mNQJ/vGQtwh3YTuRBTYdysAXsCsMLK5kw71br6idtN607nsJ3T2do1ufJYC
8hboE/HmkRsnD3ObgVuCGmAuNI+5uRdfpnQjttDvWII6auFV7bw1CKgVUtfn9vIqi0zexnGryK57
jrPiYzb6fLGFAYseyib3UV9DS3yqGMFxmREsR3gyNHOuJAX0T5wAfcYHeJWZoia1nh5UVPPP1gHR
BsAnH4gNpI4rWYY/Z6xzjIQQfjCGeyRieet1Zkn7lMibXWf7Dm9C9OSNNf18x5seQupyjAJgANXr
ExKFfV5dTSVeIN6+7Yzs55Zq7GhmNbCPbkBfX66OOIG6FDjx5PaDTEUmpx0yOqGJTGmZooAV2JQZ
gcwr3EkLnWCizdxGeThBDn69FVovTP+op9cDzBHEsa5JFOYGQKwQU9GB6B3KFqWCOPeym8ZJMxBZ
5OrmDdfZpCFgAVjvJ+ss621zql26dmj67VL2vTVfFNSDuMfY6nk3rR9Bnnuqe6fmYeo410nzTlK8
8utrGL1yiaisZj6oZwIx4WY/eEmuW9rGsCTo25O3I6MXu/CMTrGXj5ivbvDF9ovgGdqC5eMDjV+W
Uf3KF9TI0k2XLmkKgLFJRyfEt4RuBJMH2oSZieAUWnUodGzmJcJiPXMo9jKkAC/okK/8rHWR68dr
RXiEyr6tGaVdVfA+6s1iW87YXvczyn35IQfey1uqHR/TiX2jq5nPki1Ucg9VPIiKRJ0M2Pt0sAcF
Zgq0bt/yswHFR+IS6jSmSTCAgR6YISMabBvlLwHjBxiV6DAxiqwFsBs9E2pqOw8+AW+/1Yie4Ofl
n6KyR9D7Il2skUv7Trlw/4RLtqMJjWV2+SoGVtFTWijNJjsMY8t0XAIBAZpNudPEBx2lln+z2LpT
yYYQhdC8wkSMR4qaruk28O5MimW6/fq5imCdX/08hxD1zeDMTes18ggGNWrlPknz2bMQqFlXQKkY
Gye7Np7rmAY3kPJ3cbvw8EAeS6L9pOeQOw5zkA30E6o0ZGHn40o6DYZyNCP4c1pX2Wx+pv3GY+Ku
tJK586CxTLjvrYhNy7GYld7eCzvZzRsy0cRmfVpJxsqFgCpCIEAIvYNxywi7u14WqIQD9nJ08Nmq
57J7Z1dL+YDamASy06GD3Z4HSPcVeJpOo3pW2PhZFx3WB4BRuVNvixtg1n6mWRGsB0jZTfnVz8u1
u68MmOppxjtvvlkl/fkNUNaBUioGswoAMrxxobat7/n9eJhngZZb14LEgrZV2RXqMSXbKooQAxjh
lnfUEeSXqF1zduGpw6EL8iWk/M20drNGFRjtHFduVGfp4RMO06P/LigH7aNQiMOV4T6WrkZ6Wkme
P2aexskAmZCdrNyGiO6u605m6PN3h9hdqSVTpwZnFAzF1WzbjjpMMsSEXJCgrQ8JQI2GjS8YQHhS
tI42nj+4zlZDWYOmEiRDL3dW4xq+bhi6CAuKMjmFrjfs2sae14tY1rZ9dGYndQ+xWpwaGHxYruDk
Yk9Yt4puq/8eXVGg0UdbhVq1e9nYy/JgzFyHKwvNcevet/x+fRxqZjXY+CDo3q/hlMBPK4cgRHMP
cFmywtaaQhXsJD7NuKBmA8aCK9gZuIGyaDwX/YfuB5nTqfKo/opASTMtO4BIuqXLKBCL2Y6hasKN
6/VisI9DjFhUtBsLWyDjGVdWEVwDCbaKAoqmIq1Nv6URJF14MU1UjG6zcwQcn2AfeBi1Jdedy8Pk
tz+zb1uXceDczzBYkdqfIRSxLanKq5R4D/RFKX+n4rmLJ/IpOyFH0VMoyMZie2bBdIs2uWZtdXRJ
jp23TGZbkQQSFncbmfSxYwNnOaR+YCJcJWyTYWaYdDjxIde43MLZ8no1RxfIPlqkpCJt4Vld0anL
2WWGGtmz9ajDkM88jKIx2R9GuObkEMJY5m415Dw6uWNbZcFHgfgqt+IoKyzkMUGNatypsRWESdH3
ZPYRtonKPfquIAuebXI3rDyxwCOW5RH21jOduTkG1eRVvbD3iKwFq3eSvluSEtWgAYgp1VjZPCh5
CeJksECqzgTEqnTZo2eQA6Qm0N0GBkjVodk5I4RquNMOi1GujcZg2KzvkB5q+VkTS2R3OJg1MWup
F03H/fcyN3Gy8MOSX3FzR3JHNbZ2TvckO2nyVRnjLvPoDmMXfJmB3DWHwM3D+hID74ltEca6yaVq
FZqUJZWDGaOhqYPB+T5avS7kbsbTaiw37IfUDWgywjIHB2R3guEnhiM+u0fgk3JP0Fdml/q5g2G0
wzgWDSDNYRvI2dy948UWA6mQqJTNUWcQZb6Xo8XAEmZycwdjb0EoO/0zEmvLEsIvwVvJSMMaXdaH
hhYb/JYCDdGohORcmqmY2eQB96JaYvGx7Bxu5uU1smE6ziPHv3F4iNp44Ym9HLGVDs4G3Sc6rkkx
QaJb59yO5aepwPC1OKUqSKr5zCcdnR5WKMw8lbMqU3zqOtTe0zO8U0xSYQ/09+fN7GpzkI+ClslS
Ua9zFhwC7C4cdmB1yVISNzbZ/NQoLHdPYHL7KboFfOo22WUQhzb3A4HDrAMPB20edcJzdXrAL8Ms
kbZCPfd6rfOWX4jRXSZRc0qOxllLcxthsxhJZPfYumFJno1Jhtld02lK2DTB6ZKobj1PkQUGXmfy
zSEw8zEuc8T5tjYjkH+P17DmC75vfpuspFtv5zIK2S4duGPsYdhQm9SQ1ldiknlPmbt9WR7FQM/4
Ab+Bhpfa9QS+6tJbvCn5PEVzAuBCID0Qsqpb5kK5zaB4ss58WI288LJ2ZX1VzU4yDbuk7CMHbORQ
VR5J7dxgprAdrQlxnH0NDXJ6sNUEoiLvEW7Md3JqOPIlocy6p6kbM0MkL8B/Elz07HuX/uwMRQ03
z2WeVbZrDoE5ItF8jIOqAMvIl6SXHDx5z4MWq77wZmglF4CG9DIdFxdX2KcpdXC32MYvmU+f2BO5
Rt9EOGYcswUZAI0n148TcbTWKAYfliSxOX3B1PP4KuHM0u2RYLCWZ2jU6ADY1mRjk46oDMcRxJiS
3jpFgfLGB0gW3mhtrdlh/OnMmkN3GADPpSSyIDsBhE92JpFPFLrPD3EfJ7y1oaKg2+yWyMIAOOvg
15OjSNHQ/SYJIQasTsuZ96wNVT1j0TRVTKcAZ3M+CL1bEyoVMTk4qVAstMFr2MtkNECu6MTrAu7u
88vSq6fSpFalVRnmp7Ej6dvdME29mRj1bOpHWJz+8IJFTmSub2x/QcqOAUEhmPaqtAYGcnZCs8Q5
LSfqKgDkQPKq5zw5xlB+x7tgCdceMZrFKWHduZwp2NhgBCccAgf4A4cAYjkfI/2hI1blbW0yUbd2
ieLb+eXUuBTY1YLsyye8fa9I+EfMlKhcueUemKc5Bb4cLMoY/DE1gBUaDlzKNtB0eYdo5cTrT1HO
ROeQBA5mO6d1zSvNnNHc+lgv7IT7BXuXYdhbC4j8q1BRHOEXQXyvt9rFHRflLF6jBaC46LOs3qA/
1q90BtC8Kp68Biaj3OuXyCGR4GAM0bw2s/Lt2tr/UDMC6AZFnoYOgvevC6wRzkhA/Mv5yxIP5pxp
2J6p2KER1JZy048dz/uXS76uqlGmijie+qach7jc6zqrVnUd2QOQFxHMpnvzMjXKCCrY357uz0sZ
hJ+xfqRhZPBvv1fEXPSh14nqxJfMj018agLfm0gKCdbErrdH8kc18PfyGzA7xxPobnugZ173XXob
YcIZUNWXxatGDjJjWqEJuxWDn7IMcZB12AvXoCFojLUvAEyNU4lG8FYNYPOvqUKYzobkyGtiz0tk
/tn7qLvEHBGQm+nZE0DozHz19u3/MVRobQGik4gtchzHu+L3oVq6uEIvNRRPQwZ5H4iJ3ZljIZsr
R6i3L/XHnPMoDEtaQXSCsDB4Xe8mjcpc+EzqSaaRN+pTrKN8Rs8uNEskiJP5r1PudQsFZKAxZnAF
1xTuHyDIru29KKF+/6T81MSoYWGx3Y4Zkf0+caXZs2JJvk8yofn6G+IBdndDtKvE2dvP/nqY6ZoK
Ac7atEmFgyfK78M8g1ifZpl4n6lJcHTUaUqVKgIlRwR8+0qvR9kV9PlpxKJIHNJBel28RrGhRQMs
dz6PdRMWV4MqzdE8yzmpnTCfNlnj2xf83eqFpglgCcrONHmxpiVpejWDhjxaCSa6w6udPhEAGwyv
CHMERc17jbu2XEAoZYlO5TYsoFv8Ta7S6FD9VgAn1cLTy/ZEGIKqEJ77++BySkQgT4X15za1dVLv
6WWtxZ6qRyrz40vaMnWpSY0DhHh56T+L4pYYTMmrCgCrp2fzy+BUQDcZI0r/mlXcoDPKaWFFl4kt
oS/mJup3kTcAWMLJoBiI1uEszGaJpxay6SCAbBY+ypH00PPdEI4UjxxwW8ixTAUlOjTBC6yrzzJa
ywD0m8IyuVUP+IxgYXVuyCkG0JjZzkEfkduEvWe2eAgxitsKXwr0Pak9UbMoXJM05dHwI+NzHZMs
xzmSulRtekCZlMeSvKMy6U4LcnTIuxSUZd9+/39MuNAHTBiAopFIbv4xtUdOFinEAv2pSVuPnDVR
gzkCyXUwGcDPkvXblzSr5deQa0Kt/NGjicAChEaM+9fOEI0yPbR9NH+SCSBwb4/bR1BcQYtxC+va
7lFhiOHUo2iiDouDpBdFWHx4+ebbt/H6yT0PdDmRE1cY/hH9aH//0hetg7aeeZfpp6Kh/HmeVZD8
37vF7HaXbj/8RRP39SQHyg3mmUpRgB4EauKvJjkkjiRLVd9/nlqVr48iD820yHNlMqu3n8t9taT5
dNjQfoQHNZ03z7NfdZQSlBRK6P3ue5wcIUvFlC8HCK+UUTnpZvnM7oC55lrxr5CCDfNyEdi4clgT
XfSDTE8JhiOP6d8jpFiShzorRjUPdpZwQklDgsBzisqaKWstlikDRAPOAunZFAWmTAyGkd+eLMfj
4axCsBcliWU6ReCTTLzmQFDgTAb1KdPloUaPyH+xPv9ffWVejTdjIIkrNuvUD/H9eT0GAgt3WQXj
8h5LOLMz49tmlpw1N5yc3x7vHw41v8xn804JXgGAi4Bt0Xs9n2HWUVN1/Pgh8psf18KzI7hGmM2k
+iOhnhD00nsvAekwCuiVmCrpz6+6Cd45hiyzzeAKPzT1TM6CikjnYiFPRcEq8tFaL3uWKnp3maqK
+ai9kQPTHoo8x2N0ns2x5Gfjj26RaSJZZe6ydtbIXvnZ1FTmha8i5yrWj+54+FKamBwqoFChRGre
JDawCX8M99W8d1QLTWH5ZwuNFcnczel5sO/FMVUOb6Md+G3NX/bb6PfXh1yhTycfyVSE9NkLxevX
1/IEYMdV/FxOXvgx72A1HVzaoydELZVPjT8dDpDL5YVGaSTeKT+uT5VblI9TkgG3riMkp+HpehsJ
kLff4DLXvo85v/a35dJP6TaNJtDJMr+raLU9T8rv0e7p8Jvb0ssJbiaBK3aKFvIVO1JqROvSqdhZ
fe59WOkjT+dxN+diowAn+zuqhsUjUMCBw0EJoHfby+7WZ1cqDn5peVdoT0+QrXW7pydePqb08M/L
0qVLkBtLTTaRmRbe4JSfQU2IC71ArMLCtbWdnae68MFlf35SWGOKDYrjKSWMBB9LiM31wxx642Pm
eSk4KNvya/hsQn0qRoklsaW6d4Hf96RFwAVzlPkOtAm0AtJNc3kLhjfD0cSvpvOyRkJrlhMFmzTP
P4zoSlM1j8cCRmXXPKwQg3ekn1ZKtc/yt3Zg3/mDtr+4eug/O+Hqv09HgR/yElQXRdhne+iJ2cXb
i+z3YM2EoK1MMMPxnp4+icKrmNZQ/gkhftRfeV84TGMvW+yDshngM3Z28P7ti/2+Qb1cLAQoZ7Z5
crjXGQmOn6R2nay/BnZYgRFa7AcQ0W6/qariavI9QyhNmuqOFiFo47ev/cfM//GYYHVo2RDEX59H
RtFLXLa66muLxJUC2qyK5VB5MBb/sk38+KT/Dls/ntJ3XYAH4GLZkF8fIhf0stwJrMxXZ0YnkpyH
7WLTcODJoIaU4X3tVvH/Y+/MlttGsq39Kh3nHhUYE8DFuTgkOIqkRE2WfIOQZAszkJiHp/8/yPZf
lqrb7rqviA5HVNsSSRDIzL33Wt+6jsg8wf6RWq70jA6+zqaLLOENaYPsC7GeuKxE5e5zQMV37Lcg
/ugrNvdZxuFFb/JMLvRGM89qF+evWWs4h5z27LnTRx1sOnXqgmgkcrfA0V8amct9rNiZoHuTMIvT
epfGWuWOX/D/N4wS2mqtBZb6pA6NsZz4/n5zFvogwuOSzMcAjkFcF4M9+uORQFPsejCxonwx2/ni
h5ERbowiTrfDNJCC7KaPhuIOXqsHDD1KAie3KOPxCv36FrDmm/ndN0OmyFzVIQZEOCbsDwckUrIy
xgeh/SVoGRzQToNLNDi437yaKUnjdWY2bO2sgfcVKTJj2lNk24K+1bGTomsW2IGUy4nQoC1kExpn
FaL7DIewtawS5RiNuX0YDRJCjMy4pQeaXhYKXxomVwzTy6kZGLsAAfKXtnSxKusU32ssx6+jiKOT
Yctok9Ap3kaQQS/hQKSNV/h1i4c5bNEj68lZybH8YPHV+rUB6RDHeBUFt33qEoMWliofAAiGCz8s
YARgx2XMIIQ98ca0FOcQhaP5SaOr7S8YOoBT+PXFfS9L4ivm2pp0F2w2KXSy+vz8/XTqa2kJ873b
/pcyMq2TUhrxvYzg5pFNnqsnrZ99Fr9+Re298PXtJTkbUOIgTUeC91ErroFGrjK2zq+xjM09bTMs
fH47Khc0KuF6AJNjpbeC6os01PQeaEZziCJXPSuda6x//V7eEkLf31ocNVk+dZixKHE/igGrPrNq
J8jzr8HAgIG6vfA/kx0Vdh5MNWtRgnSkw5HNyciNRa/Qi0NhbUPksB59EtddMvAk3KAq8M1ETdrN
rV9a6LlSh0cgN/W2NIzhJMj42gWWHZgLCAM61MRRA5gQSDVrcb07BUGvkyU3CpdlHSeNckTRTxQB
rQzlIOpwvCIqgu0MtpJcBz279xLnfXLIGPNyojQy7D9pmeZISsBCrTqGnvdWR2nKWaS+aXTgh2GW
QvCpbOQy3ImMi5aCrt+V4UY5I1cUdQCjBuZKjUjTYEnEmDz20q1rqOGwWpZcv0LbIU7pq41KmvIn
wFDRA0615tWM9GhmkMY4X3797fx1/SE5wEU0h3SN8Lm/9PUMnUloMvTJV1wMqr3ABRk/o/IYmRry
lVFT2V+membr5crz2MU97FvRyd8ZQv/dDevMEmS2PsfFivuh3YFSqs7qyU6/kjsHkv/tCxFTG6aH
KBUNvuzOvQVg067BL/sr6frDY+hUneQ+mbTb31yTf/PAggOht8zSgdbyo2IXJn3fFUMSfw1sVdyU
Qquv9RTuiU1j94J9sT3BXm320syzXToY2rHJMVws3pK2I/IfESQTJANUpzVeUc6X1sIpo+TmN+/y
L0cGGzurgaFVRzNNUfnhknUZPAe3NNuvdL3L4I6TBaRiOokQC2vIRrog0H7R15OAqlxZxWs4qTaQ
Z0CC/cawi/reIjbxoNp9cgcgqWVCwi6wruIq5XIHsb2E0UXW0Nu7/sed9Bt3EsQwzpf/2Z30f8Ss
Fvl7o8Xbj/wwWswOJFO1yHegpicdyfhhtFA0Df865nUVMQdQGSxIf6LVbTzq/BR6kzd6+s/mJJwW
OrxHft0smtX+Vtosh9R35weLkKq51zCD3VXeD33t93tcVto1eQuiP2iRRI9Ded4zA0b2YcFCvwAR
5ugZxymbCfkm0bM0Uz81nEQ1qkmZ1beA45qpWsyteX2Vcg/KPsbYl5fSuQE0ihQVLixYM43owx7E
4to0epBkmEBH8OB9z3iEek3Pul3V0rjp6sXUtHkjj3k6xrkHf4+SzHVkfrD8eNizoXTqDprNeBxN
379FUio5UIoHpS66TV90drBUB9dzrVge4nn+nVHNaAvLmvPORITVLyJVHpFJ1pPZwEJEZCnNhh4L
4oSlXKRiuJ6SznpSpc6aTf3THSNyRaqVHs6nEwpwguVdI1BTUjK6dIOWIXU8yy2inciC0j65jABR
WY4qdl1FKWa48dhsmioBoazM888wM5OtpCpcx1NlM9JDztMucjMGbpR1PpRvywfq1Y/oLQQSmg2V
S+OFdc1GFshRx/cbkMlRJxl6OqvsHhoidu79qWDEWgUlhApGPqRW+JXFBzV9tdUfGPaWh97S0k2t
i2plagmRKoEsNcb61YHMCA1quWn3K+D7gCyjBKKmQM9178bjcOBc5tYQrZE6rsO6UtMF6YgmRGuw
2mdIjSsdg2a2MZrUZ8+3BlqkcNYWUR3HCu77rLOZjZtV4aktlGGOnRkpmj6ApqBrnbXe9z3eMfDF
ZLN0SHH1RuVCBxLSyjxwebX9SH2aLA2LpzWHHs/W75Wam+NThpVOX7tVZm1aosBvtLwKL9DEpA/I
esXCV+lXAKUMmm3aYZbz9Mq+zLKx4lTOZgTz3i5JyE01bhpt0Dqo5Ck4S+C4K6bd7uVglSRi+hXS
mtIMgPRDq1mAK09QLBlkrVphi1U7VoodwFp912R25tE99T/zNFR0FtBjPKNbhwM01k2XbIKm1G/9
NGp3fZXZaz2lpFq4uV/fOGb3oqIO9LqRVrGPigreYDpGpPpIA4J4gMh1GQhHO2SClkASWs7jjDzY
oBYW/sJiL9U8qyOar8a9a3i1X95aiOhOJR2d57TJfK8tg/Eeana29Sdsw0tFUQFIQ+xE6CeV+nIs
hvxUWnEMOADQ6cx0iWBg1cksAfCLOxHAAO0VN9/lYH4+NdjiIUg1fnqdmBBuUfbJDVkHiEcc7kPb
NzEXm4l6RqjTLkfkUO66yAkSZmVB1AMV3wHTbTXyssp8d10LNf2aa8m4g8ZQAPktieAcRndOAH6J
0Vt6xtj3S8uJkLmmnC0LU39iavsJop0FQC2g1HI73a7I/OJ8HKT9QpahbMVVXyt+wMsmlmjH6p9d
8b9zH7oWlcuvdsUEhez7yBGy1vmZH+gW9w/wIYKGumvOkZg/oVtc8w+KDVcInQEafjKXsuvPxBGU
X8yxCUui6jZstuYfnl0DOy/5SWRG0z9/yyn5G4kjmJ7e74u0+fkf7USbOHiLd/qh9kNOqXNbt+bO
Sh1niTMN1WPeENDoh8M+DUprC0wAGU3R9+MXq6jtg5WYJVuKBj+9KFpQabVUnlISK48Jfg70O75x
K3iwAnYEkXtBbdqnEK749Qgb9xYZWQowkZiLjEnH50L6Dm5Dm7AKXQDfJoePwVG8xVwI7IvG/EC4
WSunF1UmCnGCAdRrH8zyDbOvZO/mKSRn20g3rQH3a2jyY2ER5O2mfuYpcRbuta7ud3mUZeBBFWF4
uhLY+6xsJdTzdLgEy5puZOoQ8FwHXYwIZdDPCIvcEwJw9aiNkXqkLaDARSyMck19km7QewUPmhu5
J01JrrRBtEdf124ndWQmINBo5qXpKgBGpPFKEQ14LiMd29FwFy0rBipXLrJMeAw2qljTGmpyH6J2
Y6Wq/NKzR6+NysAQEVVsvG2R3JVmTEbikJrwxLIh3rp103i92Weeao8El2p6+6lwIv+yacP+3BTR
9ILObHzIq9Y4BwlWJmOMq5MwyDfGIhQtGRBE69K32gt1ICMzM9rBwxRgr2WXdhtbS/gYBCAuzCRP
t2QXk9eSmC25UMYCrh8eBVde6HmwM2edWBuho03UIvdquPBZIrMd6Wm7NLETLygLgCL4VTZl2Vmv
gUuycR030UUjzH4jVNff6VmYXTEvn9jdlJg8upHe2sqgvXohEY/fB9D/H+1SZCvOQnLvS9HfSNzd
t65vRseJtuuxr1V06FA4ok9+Y9aHuFXTG7Mw5Saj5wEjGYXr1hpSspqT1DDO02hHxyAwpzUqShj7
YEbo60VAKzkFlQ6xRMQuCOQwV+Du7T1dNuEv48lMX9phkCdfiHQ7Dq1xIRhEbzIposfWsaOHUoYa
MjtpnTN0z9shHIcTCijjQu8tgOdtEVw2ZlHfxuQkA7Gt012mtDsJq5AEgdxyTnop9cecgfSxDMxk
FzHu2ELbA78JIj+l2xRal6nsL/SwN7kdy2qrwJOjq9A8IQUA7z8OibbSpW8/lQbUynLIdsEou0WG
eHxXIOxf06eHY2vn+r1hJi9jbxCypQSm/mg7+W3RGQjraznC28zVcxEKsMwDYWx7S0HPwWHQUU9h
R0962SuifKr9Kr6yg4RoSAy57gtZn+Em7/ihYIrSO2C7GXZjbDcqY+KLOOBL7A2D42Obwk800+zG
NurmmXK7qxZNot0ix9yxg4l90ZcbpDUI9IRNDkmUxsmZOW16bfnpVgBO3At/yndmkhVeTc7ZomWx
fGwKl+wcK/PXY2SUHgXvsPDzIb6WNQbraSiLpZHQVpvCMZnlcckDWuvhzqb7epZ6Viz5QmmMVGEC
a1do8or4s3WfCsCQFSKppeuurSbONn7dq0d0QUSDpGdSPbsHZZ4OJ8LQzrEaGNscR0q9THtq3Fzt
qhejAV8KLsfr1cEGUN0PK0JQWoXDl+E8NDbOh4VUpzSCtjkHPExjcEn0TrJRhmbiTDVa9rLqBkE+
GbO6ReCPIPcm2jJT0bYOiMPuLphGyFtpQkc65WzMMkdXdOHKSr3g9CuPY+6rK01THmI9YZ4Jd85Y
wYWHfiKwk7j4I5epEn0CTaMSe1+rK86V5UKPk+I5FSH68CJ0z1bmiF1dWwPoR0RoZ/iEiWcTe4YQ
r34SsT1sYkq9K7We42FQTaunzinUpeNnE7JmJxUr5I7uvcuucZrMMPwEfik6EEPymdG62LIjTksA
jkCPA5NwPvpYhzomxQHEuHvIWrO6amK/PMaIre8VP0pP1AZyVWh1AGuigECrh3NkQml8YnykbwG7
Gyso8cU6HGL9K2TH9tjTtH8yjXLeXNrJfKAlFt0hle/SBSgebI2xG2xaXEII8gNIEZofXmka/c+e
YnjRBeVwo7ZcegI2J28cG7mqB90h7JZKjAlAEV7iY+650TiQuwrKFb7ZFsF2YLSbPBqa2Sgi79LW
30T4/FZo+smS6AxzJTssQEQ7qFOMEjQ3F6S1rkVZdCetC/S9y7DnM5lgidfj8sRaw3Yb8Yhf1LRL
tmjHsCkkZeU+kmEUeVneqw+pD0yMlQnjb6N7oy6sq6mNlReJt3YvG0dZY6aqL/HPpzvLVPw1+Kn6
nMKavEO4RH68Wqo3YRepvJztAzIeFZKAKBhO1Vg+5/U0vqhTy/LPyGLChjSYwWYwes2b6Pgu9Fq5
sCAO0nrPq2iggVr0mBVmW6MasaJF6nmuHtj74zi4bS0OIouYmFkCOQy3OZdg9rdFyCO9GKRNisVU
V7T2bN8pX91KJrsuJZ/GHHrlEOnZaoTncdV1ebJtrPbRqizYXyD7GQFC03pOGvGI8Y8s1PYVV8Oj
UwzXIGCpDaae2Z9RZrsqt8cV5pJbvQzkXoa2fdvJRL9PaCi+wG0bPqEgfXS6XCjc6hH23WRPAHek
tntZ1mXXbKioy0kcOWrlgVhMRCpZqwiHnLmaZQCHAWiL1/Zwva/KphyxnBLJ2kaj4VCz9XxxsIB0
XEIQ7pYET27akVPPBqRKcYwwLxaPkgWUs9dsKRv8ZF1iH8v2jpJU3jyJ9jjkJRdaMOZ7KKn2ozVa
5Wda+kF85TO5urBDS6tuW1I1/U06JQQqLIe6nzA5BI0Vf4FuUit3FspxC8Ra5+eLQokSMkLnsKD8
LTbILfJ1J+pPoKMIHhuC1FOp/eFYmZ8GRe+3IpIEemZNe+JfDms3tTlOpuE+qsxD65IqgFWJXIwk
YJdRbDB+nEXu8ilMVyF93z07iHITKlFwgAtGhkmujSdq2fJU8W3up4ZqLYz6JzNxx33lkgtRm0q7
0fKBFJZ2Pm4Zk94SrW1UF1G0o0+IJnj0usJvsGNh7oaQgY8AGCJ+RZPoo7D24lIJdkREN4Rq+P6+
yvRoDwn8ILQ0XRIDLg9AyxoCSuzyc2sIfAtEi2yisougrdfuSglUiusoLeDtm5LeeYhDr8GVsMRU
7GxbWitMv/VsQ0Sd+mq2WOyWEmM+YUdE3GtfgNAI51OttjRnX1rTLhPrzi/Nea6HXCrK0n+KuP+q
iAPZQev5PxdxOMLyry9N9NI2PyM4v/3Y9zoOJMzcoMSXzgyAvqRGHfWdvWQbf6AYJMeGFqapgaek
9fi9jjMBNiEP1un6/CjWftRxpvoHJZyAP2FRe1EZ/j0E5wfFIC+CNNJlUAs8Euu8+nFMa+kjpSZ+
pW2RBxpO8IjnCpk+ot3mYRTJs8O4eSELsqPzdiAaIBYkExIEv3e0RC7Vxrl1OifZ44hLyKpPD51j
1rTsBMfSCj6tqrD4xjRnRrIJWFXziQ4nEbCslmD9MRiupatQeAkiyJlunSX2Xo9+IrYgouJXWmkP
JG7xmjw03TJGOrBU2V88YBEPXeqyAUSQrmWBbNaKn4UiVS/N+OfJnMJIu7Paya560JxQomPsjEWM
mnGV+fY9EqHr2NCeu4qXR+z/kBbRK48QcMDCjqB762cNOyTCeT6PkEOzUqvyQYAwwPAJmrFX+Hh5
wGh+yAiR6RR7V1XOLshRvPs1l6Zz/VXQZMiE4uQVNR6cZsGlxBdRe2rJL007LoEJupCPwGVQnV0W
1bXnV/yrTuU9IKXhrOejlWhxwmxjE7ImYU+pJ8hjXnaJee4dMnXnn4xNUHORS9TmpM8H6ZFLIFOj
WVmNNp2DIj27Y9qt0pqXTFFSX1hmydvvDX3VlrwhQ4rEYzhyl9QuZ0584R6r8euYE0SM55mAJn/k
CJGMdNAYrrz4qaJxHdxb1GLNyshn+jqgAHq3GHfNxnHwuXWUrbFb3/qOn8AQpRpCtjmt5aRO297h
6hkgrb3esneOpty+3SRRSVLmaJa1B2JB9Yh+OGcdKd6V6t72VMJLPeGPTLXOXcSbCuLE3FEpgAzD
bUPEDmk9ttvoNOzmu6jh3zImIEleo+tV1CRAdkzNhS8GLhM3Fh11SBWWdeJ+fsWpwumDycIi7aNn
ECl89xP/FfvMzTtNyb2+cUBfYFJaZhlXqdYoinRbTke1rN0lRoyHt+87CwCudxyLl03P58VA6862
FL76koNFK5x0r2rBKw85dzVrOUoh7k7H5lYp5meBPuJ4l4b8Jz6kZwKp+f4Hl8OUxPfecrloRN+O
E998X/KcECjs7wkbmo4hJQmEjvrBhiGEk55v2Gm5mRyexreLkUseil7hn8oke84gwK581SYvS6+t
lUkCxDJNan8/UkxeZ3Usl0zUYvj3I+AnjHBrrMMEFWBZ87LK5JKqHe8hCOsLp1aGDS0WzK6lH8Ej
nPRVYvNQUioeoj7O54g87jI4hIil8uTo6DyohspC4HTs5JxJ0pXKcwLPNDp3oXV6e7wMTMdbVWv1
1WAyRGhp2y+Klm4Ao+/aM/H/7INQzTcDZ5jZYshjSCgfaha+W8bhs9smP4jOn5cQboFcknZq9Fyb
t7t8spNpjePM3VA2JKsRZ9+a7n5KEAq389sNMN/hPOLnyJzyjTGyjLkdz7c5uRNhrnx1TdvPBnBu
I3pLzYr8Jv8Jgo6ytUI+KuYWjonE/m19lyR2JvDPHNz4CrTklfoXRR0cxZUK/okg7cZd6rnm79Wq
zQ92pA4ni4gQp4+fMT1DsyNr4UBMXrLigMRIc1KVbWDxnBZ0/g+jHbprW3CT5ZmRH5Ta5dWxurP2
ZjQiWRy0iYJ4MDe4KwhjwZNz8LWeTIDaEEu7UQ0P5x3BCHpd7XqBatLOO8cDLK+C07WMlQJNbEkS
BYtbz1f3Zgv1W/0cIgzBP5WPG9mwmOCiI8CBxvLS73gLEEt4irDdboHe8YedGt/WJt0d9NXbQ9tF
ggz5QCELjOBRq+KWqCzzrI8zo9gnksuiPmfbIWoTtIikER7x/RVQ0lG/5IdBmMOptZNXyiwuzcgT
8HatBbF3pI7xK1uN79XMmcKYA9GWCqr5BeQf7JKp4l/pHOc9HCnpxvHL19Lm/87aGPAG44sgYj0x
lTRaa1X1gijQQpvBLKQo7fusIIIxUcIrpW9P9qydM+AC78dogASqpHUKbJ7pzwoNNCzRfFBAYk7p
9DmxUkDsghOBWLmEVSgLfPXxsx4Xg0dh58L1VfVbizRGD1W3jI8kGLd7zJJ8hYbqB/7CD0iqWsUq
A4CwiBpSc00cIyBZUlpxuAsZro1Jo64YDlT1inJZaktRlspe+u2T0hTFFwjVL2akFjDbjSF5dUpD
AfSGO44MY5b/ftvkVbF2swQ3PqghwlhlXPHMx2aneAFbkadrjn/ESzspa1JU+vpE9IhD8gqwsWyL
S7pRHoBUkBwHcDo9+KFr4KSrUk0syzEpo5PVAQFaBXBJFfJvOD5ACviN1uG9iODtXIMqyTEAmCNI
R374fm5LMpY+mUVF8kw0El46ha+wbRyWIOcWLgVgEziSSzP6rQnqvcTi++uadGoop2eTywdxpTua
Op5l2W61/m2x4xk0ouRL3qM4AOn2+tOB8+qb2Ohn1N17Kef3V0MuwSxAg3r3UcpJLBthGVPebtOR
G2Q+CbgJjdCAxpv39kr/6Bt+o29AYfDLSY73NX3qn6qvP1cA337mRwUATh+oKdY7E5XYt2P+jwrA
ojiwOctjm/hOWP0xyHHJhxdUB7DYKBGMuWz4MciB3I8/jTmPsKC06UQE/I1BDnC394McJkUWzhCC
6DXIesyZPtywScyZSJvccjuKMXxglD7HPEqDkfsA2Xc52FXWrGU5XqUFPIllGnKoUgkJozOI3qyL
cs6cxqQ9+FFL2E9OGPYSwV3/dWiEMu/uMX08BhNp0FzlOBwX6Bg+m0rFo8iwdZ0HTM5HQw1WAJ2B
tnIRoy0xjdZNTA7qYaCTSWyyRRnvEHyxtWE1mbOvp9oLEtA4ErC5KzYpPU1IXB4Nl+pigDYBesOg
RT9Y8abnzemoJoXc2VPk72AYNde5G5h7RkGfY7tUHqI0Y/8pc+InyyHf0HUIViQhAaF2ank5DSwS
2VCfO4eMHCXhQwIMIQdQP/OsJ2vXTUJvtAxlEXP634B3eJVMFfqF6pLwTVAxp3DJWF4vG2g0E68e
dvpZGAQER3ZzbNDhLVqdQ4bm3PpdeyTIBmQaEk5gtNphYBOgQZt3NEL7+Q+4dGN2MB35gF8RdorW
DPCug88csHdz328xDyuSMflcWpz97KK4Acg1PcJpVD2Jut1D9d+uW5VDHa7bJbfg7WD4pHQjCEh8
Mb8FAF8Wv9otB2MDZEG9NBJFWTOhB/Rcu+l9QTF3rw3kZ72d/Em6Nta4kwYGIQj3QzV7rSd5pQpz
Au2l7BustE8FrKRbifYDJbCvG+TQpKueY+BV2kMWmqOiHaspL0f83g9m4tyKOio2xVABoahHeis+
sWATerGtWwpnhabkjtBKpWSE0N8Fpg/9F76mzRFljhZwfWKrVGR1S7tUjXMDBv+URWWo0QUNB4qT
sJxWaZjfGIo2rHDWVKGnF8Z1nTaM2h2fxAIjxNLOk7OI4Y7NiSgdlLehdDdVSYTOLpCaxgFhLDB5
WM6icTpRELc2tBe4cxo4MJVi3dm4oy8IDFY/EzXVeTWBCIQNxiRSAWUqirXmVD7ZXNA/CKMEEb8r
6IOjxYmb8VXJrUnZOFVR+K+ja/fHVK8QAgd4qTkBRugx2fBplsfaN/ndPwv9bxZ6Q2PX/mn39Z6a
p++o4dNT9vV//+emaJvwX95TUjTv5Gzff/D7cu8KlmfCVizOHAzGfwIHw0o0/+Cmh1wysxzpm3N2
+NHwsf5gi4CoTTNmVmj+ObenFQRMGPoWEmtNQEoSf2e51433enj0bPwKHdAPgmXaPpAl3p+LXLXO
G98HfcQm050dy8SRbVbA+unurmxJXaVOnX5tpKLbOIU5rbRudKnQHWBjSdHfjgnOFKBN2VIrG2dL
J5tUSz+O82VeEGtnizxcJU1wzfK5NYnwZIBVEaxt5vd9m1z1utkskj5wlgpHxoUm4mHpQ5lAb0ae
OHmjZFyQg67fNDm1spT6HMQeZCez7+pbGvzhorYb0xvbCmGR0gK7Mu5i4BWGZOEhT+08umNzHRfC
2uAQN2F/xG12HcVTu2dkX15QJzFYGMoMyo8xkcVIKNlh7IWNqmBgWBxPzd5E4r9u6tZYMsaaBIg9
VT1VQtGHRW+OvtcxziVbfCh5HEc4J1tYS+pKxTe1lFZpHdSK1nyqX0t1ThgFIMR4m4gof8i8eHA5
dDt0KDCfwg4HX7huVAkN3KWccHKtWpSkIyyiHl5aYlRLvqzsYmrMZG1bCgIEiKN0+YkLpu2Lo1MP
BkKKAU1aCJHIQKY/f1NaOdFUY3iPXEC/Q6MudsjTu8cc/cEirEuX/rtR+CdZjbq6YvIUVe6yVEJN
veiQYEw3OTqCpF1FGHyVlwTLMhq8AgrNtG4FkWkL3NT1tFStwuwWitnMyccWaSKoyZ2TG8A3ZF0v
jWFB26DsNxkV5RbwwrBhJIvIPNJM+5KWWXOtUHYS3hyhgcfFODE+ZygA251QRZVO3wA0S0kmjs1N
59LTjlszOSmMaKXiKdkAM2ND8T5V1RFTSaSEBM0XDg7ZBb+o5nwiuyGf8r3t542oHoEUWtfVJHvk
5gioIkQD5OcVVdyf/SbJNjS6HBvfjD2RnbB2/XCevpmTZLd2aygU4q5nfqfeKN0onGCluHGaUbAH
kOLJ1UGnOjA3BadkqcOxj3LYUGuOKnm7ZOCmobOQw7lnzgMVBMzc7L/T0PMlSjB4RGa6/lJhOAg/
Y+wU4nCsKPH0ySaYHZTPcATkzCwtd8sv1hSUOKVL3b8mZk6hS2EjwVvEiQzvfStPshPkbvhdmRzV
y6nrRbdOaRz46PPCArxQk+f7MdZCmr2psoom2wiW9BAJmfdDYm9opQ2fEua7ycIqhYGJ3NS9NMiC
yzIcy0tRRs6q6SS9pZD0arjVUkVLQe8IYScFZ458AUOMvBJ1ld+7Q4mnxi41MpyRZNRzeK5W7cCc
+rvQ4bDiSFsByFk3iLeDhlxrTdEawHQaeadNNyVkYluMwBeYGfRVqNbNddvZ+RWI/GBjl+Yi1Drr
0o27AMmgHC5kKnVMF4SaPP5T+eRN1Iy/2RDBJLN5/OfxB4qWpopemn8Vr/8ig6LNnqN3++K3n/9R
BREZAWeVzW2WXTIGYYf7UQXZf2gaQxLKHGwScyH0/7dFw/kD/Zs7a9Y0YCm24K/+LIPQeLNlkkJh
2brOX/2dMmhuB/zp5UFfpuKMNVkodRToeJA/VEGjlic4dAZ1C3cUne0rqVCXw+jvYsfx8h5DbKTu
CVhZcbJ8IHF3ERv1twL7P7qs59nSX94C7QrSw/jM+ixcf+emKshck44TqNuiGtWTbz6MrjzUXbLK
MyJzdJyDTdl6rgwI3Uv9o5QBcRi6ma96/dGk2T6FdDiV4KhOyiIqnHXDYyxt7VTOCljT6hb0lzyl
C+BkyhcTMQbURhZzbILJZ1Ji0Yawn5kmSVHjXT3BbsqIcVJWo+VuzaJhOw4ScaDnm4+LSW3oHilV
bRiemiBfNfL70WFF5Z7YDugMMoNBum5cBG2PzjmeMLniCnZShhSOcuSESzeLMK5VnRwYx545ires
H8FCV5jhC/dRM5RVHdhPqFUY18TawhXG0hQEyJfuQg3DVVukbMTZsmqT60FB6F721Sqps1XXyM8U
cOomSturoLbJ8MyfJ1LOmjhZlqJPN0CknEXfkG1k5PlLNpjqJgEUzV7ev+Rm4AWirQ953RPWjZtS
CrKUi2kdJcZlkMXB8p/F5b9ZXDh8OnQi/vPqcijaqI6ePjpH3n7q+5riONhDBCuACQeCNsrsD/m+
pqCRVXH3I08Fi/F97PqjtYIQFscZi5GDPgArISfg72uKzi+cDWP45XEYzqD4v7OmEOnx7oHW4G1w
j4MCsy0ONaws7x9o8vj6lsTjamflvg2HIFa0a5XK8+h0dD6KEljJwkI69lwrtn9LB78iZD7390oV
+fu60rulndraoVBFvklMRjc68p0MBmui3DqYSzw7lFaE5IrRARS64RIib/s1rhjDDGGQ3pt0HFYy
Y1oQACE/FqoZDl6u251HDVsttUCt+k1DvPm2KDNx0zLg/Q2pg+X55yWNK2CiXjattzhEwn3mv//J
IBqPGEgKDgy7odKGKwwTsCRHJr1608yfi/f90y3y+3bo2+sxMzGw/AqHXKIPS6g+4+oxusrd2/gI
rckz/AX6HD7X4Nev9J4LYs2vZJM1YVP44DFitv/+k02t0CasBemu95lWcqgZiXy3KNjhyt90empu
SM31r3/9oh+6vW8vik0KNQE3k8OO9f5FY1Wv+yxHAdqKWYtIhBypYyqHa68drGpc/P1XmyNmECcw
jSB74P2rBa7DQTaL052G8yI55lU2rQdRaf1ly+D916+lfShL549GdsAcBAWH7a82SYB0TDwTNdqV
4ZDSHQr9OvXKEqGmU2mA6sdwuGyrVjv0ddJtp9RGQRfVTFB//T7+eoXRQEBkM+lg8udHt3iq1faI
tT7elW2CNXeox9oTAUYqV0jmOL9+sb/eQxZ1OO4th/qAHMsPZ46qdJnQVyLeSW2azm/CgEbhCZah
TMLdWEdIA+3cTZzfvO6/+5DMDDhuC3JphPphXUqCuI8CIeNd3pedZFTNcN1oe1D5EQKCX3/GD681
Z7zS/cbEyaIKjeFNfvLTCmBGsBq7EIFtpJWQo4eRw75Uq/EiYDR89+vX+rDevr2WhSSG/outmtZH
3lec0XGuFO6haZyQExa+ne3TyOg079ev88ES+O11DIZKgkVmxga+fzBaQVqJKIZo56u0WL2hj/lQ
5kiwuN8Z1k0YRYSzD1SX0WKqiIJfqVkQ/obJ8+Hemd8DpkQWullZJP4i2+lGUIh0DHkPXR14iNBL
Hfk0pz/4khnic8fyamGMv1nP3y7hu2MymyzmEjFP1thD31gzP32dXSC6YvLtiArONz5Vscj2wjDH
E2ETIeBiSTp5o2CUIlp+COyl3xMmyTw5H75oIi2rF0kpv0/+H3tnsh25kTbZV+kXQB3AMW+BmAcO
wZkbHDLJxDw5Bgfw9P+NlNRdUvWvOrWvjVbKiGAE4HC3z+xaVEW7mB6EQ5RG/GfJtPu//4X+f58T
qYutAb1y7O3/Zahhm5FaXE3bYb5yPiFbWzKEwuPzE9H16uwqLWtczuKa6661WuVn3CpgKDAoRPsB
fObR70kZTKln3via0wHVHIE0rXAzu+P27z/rv1614CexrBJWZUfi/PWj6n4FaR/Lyb70dfo685hs
IjWPXb/++/f51zsRIB0/GbhJj//+9dmYauDygD4SmWNue++nC2ScKgeSA0XXfvj79/rrcs7lyfCT
Pj+ejtfE0V/nknCC7M6aMpbzmsRZ7EXjSi+aISSxk8MlJz7QEE47GsPkvmllhQG4tvt/88UahNq5
E/98uSKogv/Dvnl12f21+rkAFCe4M6KdO+Bi2buFYDHt/cls9jE22XsNjOXnL6tGyvRKBnOTsMNP
06vX3cFmdCTcEx38YZjvEKHwiVK13sgQJh2pcpFjpCkSDDMJYagLaNro54gFjv7dYjkvBaS7wG+l
8+C2U34QJf25o9RZcLtSiYs95M6DQ/PhrgckS1ewBR1Ab1LtEcFmuZ+ZqQxBUSXjbSn1/qOIgARR
ahudO60h3epPVfSz9Gg1PVBxWi5BNTbRbukMq9tkbkKbqunK6x4BAA7+A8JaH8QzjR/VUJpPxCka
okHRWGphN0XWz2LsLbUCgmLCp/Ky5Byb3NkQOuOVIcf0c0hYvOsuJoxTax7tzyXbxusE0EM/Sv14
2OiJY22VhRNqBR63+/JcXDsQmd03UNXSu6ANc71x98f5Jq993h6Mn3bviY61U6ec7G2xIns10XFx
dq//FoI3H4OxmrVuU9VB0aJI9tGvzfnMc6Z4bum3uP319UaO6teiSvT7xmyT/FBDW8C7bsRUuQrK
Jc+EH8th3S5J1qzdX6vVAHgS8zkrlGdM2ntV51yRcOkNPSwKgxbytOG7m0lTdnjP9OTRmlLrZSDZ
q6H56dWdmQsXpIbF66gkTc5EQOJVh+v5U+o+fvNIyjne+otfIH7BOnjIYtN88uD9i0ATfLelKdJP
pDWBt6S2Psgpa+jfdlfIIKI16Z5o8tSHfS6nO31sp9t0tsaECLKRvoONYGmijuDZmHWrWJvX67BU
dXTwhkzF4Zx4fbpaJoMNjFFydAVLzLUE42Y5xzQMYCHh6IW22I3LfWlrsJaXkn3OkJDhCXF6+MCZ
MrVEYccFtta7pPlI1FWXoAmYUG9uTXfohVO9GxJODI5da48Ocja/Y2zN5xhW2iH3IAmj3a4maZGW
04gN95lr7GKs42uEUTuctVrex3iz97onqyO92VaIdTldOaIjQGdWy2FodWeHwhk9xr27rq0h/2gd
zGOQMvIQVBtZ5cXd5ulC+wLy+pY+cPMNJZZoq1Vu9XrukTZodcbttISCM19oOJXc+FNdhpak6wze
iiWe/XS8pUNiPhBH3iRJa27UkNQHgB5Qi7ShCfJS+UFb8mcVuSdDCMfFah77gayCFSF+W28SNOU5
LtNbOfUY9UaTZNzsWSEPHHNDROEJzyFhg64Rx8LGIz7kdgiGW21zv9TDfDGSAIgF5QYNYmnqJxew
LZ9+Iz5gy9ECpJUmfTxMMwSjmb2me6+tg7hMyrwpwnnyeKoNjXgvTYg4QBGCUaQ3iZOqVW45j+MY
HevKjV/7RiwUCMzTIaEOJ2ygf69qGsZvHKhnZ6IY7b2RFt1BG7FOLYtzghJGqXRglZlLvcZ1EYm7
71bPm2u7fUZeMRqjNiCikh0M7FAGldKxexoIhAoGBjgiIIGK5cleLHMzqSIaEI+Ff+wNo71lo2Ql
K+WwXuSuXjzJZo6fBqGrh7m22T/UXYPzvxmX+Zy7xHGgp7jUKPfeFz1Acj+RmtgnrV/ypuyizzLW
L56t1MVV80wOcBjW1+fPtcm8AVFHEqK8Q2heQpc7rdjTOMFWQOR1FMqZvUh+nV3nldOFDsZblqJK
BQyVeSK4FFjtmoyjz8D1tyrZ5m38Rbe2kFSsJpQEwG47vX8mHtKuDJWON1a7EPqKi9oDegq9m8aE
TJRHrenyTZXl9t21pWbjgEN96bNYHU1ilH0aqQMwSeYhTPn9dzKXHan1SnRXF7DUcFbJ5GC27NsD
obxut4wlFyZ9Xz1HhEIjfSPdNcH916r27I1e9uMbRdPez96amDM5lSEgUdjuy6SwLm51OyWWQ6gE
lOPAfgyC4q5ZFv9m0lrnnjI+wpo1NlcwfO6OE7S/8ydD9EFjDPK7wSK7xhc6H9oeIF9p6WcfWAMz
Pt84Mfms2MJU7nZwC/++iFpqRSMzMjn8Z4mFTCEN6sDo2zb6wj/wo/oPkz0sKx7CULMqELA/JkYK
926voRq0FYhZxh0rROU1XVgVSacotrfK1YqN4/Ujo6bUesrnrr6L+456vsjI9lHWijPfYLoCbgTO
PTK2o21zYQPSh9Ojh3T3iTuCQvbObl3z5McxYdpmsR8iuzVWJQ3c24Je1U2xdN7H0PMnsdC0IZHg
1Aw9pkYpTgnb2ybX4j9c1AZpGFDzz5U+mTeD7tW3+hKx7QeYS19Xp9HENudabaGEQsTAzOG+2bmD
iFO38XHSbK9eRZFV7Imrzd89x/FTj//mvrc0vApm448d49KKZ7rlK8mcdbRvOLE327x0XQ4ARn0o
jLnn7oILorKyuGvwb9x63TTtzLYDNpz63q6cFqydHsSm0Yi8Y91O0TkbKm9rxWP5mVet66zzxm9f
rNhuN1Ry4am0SxAHDf7NvQZ0ZN1khXx2u+a95KVJPdVWEfr2IoqwA5MPEsQCjsAeU8Mece2e9wy9
D9ukslcWE9ijEc2kiOtszS+ervNS/ACX0KzSoYEkYvvIwVUcz2fXH+pP16jGw4JzZeX5PAPbxCQM
ZzN9JRXQ3xn62H1mMmfN/i3wEvkyJ/4y/haGgY9xjcY4FmfFQLeqKfmZaFRQ9Sm1LtzYxL0jwMU/
W/Ah58luxE2q7OFJi6Px05Kp9xYPRBvxMtH2s5r0xcMMauMPdssQRaTaaY41H4Qg8gcxeXyZeyO9
0fOyxVxKQDMAwlYzws2NkF1UfMP00F1Rv4WqIdpob9MDb/Kp+gngXaaf8YgUqyJXPDNqMc9lWAyD
47C7pO+KtHc77YyI5KqByXhY9ZaoWc7mJX7wzEzM4WSLYW/7E48RA3WI67LwWX26RXtkjqdv6Mbh
d+OhsDX1BrLTkg4/aKJZOGHgdK60km9Beul7REEAhim2ONjIG4GtXMhp5+hm9DzbwvzQRKP9FM6g
ThFdVY92RdzQqHnZCXLok0GJWCAGW75HNNuyndQZKXfpExvjaN1Hjh4keXtxzGcCpHC2FpbXqIi4
qMpnYm96oHvaxR1hstC8wmjZ9TbWojmBrPo5xBNQBnRoI3cCWCQHKIEIcMYOKtOqQ39KP/NCJFTU
c04mKIHlanbinSBbxrxafZPl9Lec5a2wlcLf5ECUw7x0DqIrwaekoxGU9rDxYj8GniFAYUVczno2
GcfZLkl0Gh9Lwwsn9eBtxdxS01vOxdbq0+mhdWgdEoMXn7Nq/Mkw1AyY8FJkMI7iQKpNX3eoWQTZ
Zjoy6R0MxDTO3M9y2NItoRMvBNzHGZ+nDhuhgzXU1hrjdrspVd+d9H7KTrkxbXOHkY3JhivkUO3A
EZ1uFUYROsYmZ2dTNRXqhCQ4mpDhHbyEB0Qd3U1GpxMiy5qN13ffvdTqdaPVy9ZwyMswRHmX9NJs
5Nw4x75BO1hisEGqux9M7SN1rA34GbpP4BlUZXcotfZNlcvtkEeHvnaeGhmdWXIRjIq0Pzpy+Qmn
6xnWzMUV1ZbGYlzvWfHh66naLjkipdv7nzgau3CRMSMszbCf6uIKqanF5+QbbKy0mEU+EfvCoa2I
8c0mG5rjlLgqoGbzRzniRBYlqnZga5wIYjUML7gOf0zwIJxsEJvWLVIV4v6IX/Smixfsxl6OlYMY
+zzPjLpSc2ss67FNX6dx6nZYfU52+6R74/DYevScJV1KrjxOdq7y81C24/CqCemtJzX2O4wM8jQM
UtvJKbve5rN+sM3UfXU6q2JQhiVtRS2l3KdMmG4HlV2PE66fTNtaGWyhU5lbwWI4y6kfbU1uknK6
4Pnxv3SH6veD1hQIOlTcd56+FaNQ5rH3yq7LgjYZpzucX9fXE22efVCY7SiECyPq9zH+P1z/Km9k
gKppZT31R4WxIdeckOplP7SDaetqN/3QuzAH4XG0gXaNnTid4siZ49CXg4jevDiPflKCyQ3IuzJi
sCOPgwjVFVQMUnrJsSjmsh/A60YFOtN1pjHXQ/Q2xBwQIq3ljFELmp/SZbqhVIQjcBvNZ2LMnJJT
V4PP0Tr6DbTkdFz3/syxY3BZlhQQ4LAyrqcTI53G72wR6jZzZuOkG2QzjJiwbJKr6I2WNkTuGIPt
xejsfu3YkpNIvIz6Z10rxz73yXg98mK4pGfCbrqXthrZOhSao28bw5R79va8tAbsj25GDugre46X
DZ0JnK+U0787RSlWqWT7F+CYJ4ewhESNYPkwZQXjWWNcIDQSAnmIDmZiIwp0HPK9wUUjuE5qfr3f
r8DWXDuSSk3MkZwTxq3uWuXrr//F90px0R2O/bWb+VvYLstOmHnz0ZU9Z7BJClQCz1S3amHbo3HY
ZNazVM4Dlu75nMrEZvLZt5tfQjEsMsYogKxoMCO/VZRpg500TfwtvI3oUCaKvqmlr7YOkMoXcgL8
ASmelYB1ZLnvEF7u7LQwXstB51evgJDuI5gpewmh9y6f2O8SXtF3Sz4s56mZ5z6cdP4uq0QLb2yO
fe1IxDi056zdslW7UpaHwpUEcCKVB+mCKoJ4yWIwYL6NdOmvsAvZLQFbvSy5/hlSn4jeNx+If+lW
zzMURW85+lJ2Amejj1OSZ0eP1zZeajovlbJOoAn1G9tQ9pG+WyZki414FS354dd1p6VkC8eMyJy5
9MVzIYvlPgHPzDFp0q6fL2kiXJVX8pfGMeu+GK7fSTEwZcOics9vNd3U1JMeHETK0DLIdZHHqbb1
VYrrCC4Cn45oACwUmRtoKcTeuQJ6S+e1/fH6gkXmPNCdoa19gNurpiDx1LtkxCY4y6+lfiVzVZbc
/0rWNHXPt2U4Excs3R0zKGSMU/MifXvVKk1/TQzbylZ5n/vbtOO6TzS214aLzrr6JTwZmoh+LoaF
qJRxNZkLb5lNWv2BlFjBq6nECJ9gMk4+QYTDCKHqA1PTdDdHCbcOdi9+THNgNqn6CD6KUX/kkC/2
eH41QOTdSM08gJnIuHA44C+shIP8FcW40vBzK4jgVSpOnFvkS+9fv95SL/LDUPM1jV0tLionEvPr
hhVdnnyVEPI/SFLz1tPQgcnu8Vb0SK442TyS8aArwpgq03vsZFngyzQ/svh+DnZHiMRIOXr0zY9K
9whgMczbdqMkKNXz69D/xc0+cQdCgfVRLCrq2SS5tLiGgWcigZ8boHFvUpFshwuyGMciFsZtZTrR
wS5MPnnPycdeVSyHWx3AM+koyU9sX68C1SDN2Y2NpGAD7Q9zr+dMqPyBq8Rd9M9Yz5oPRpFaHTKL
5Z6upR2tak6nGKxZH32Lbyp2SDctHAgAtTX8wX5/vQbl1YDt2k10SGPg0OwD5mWnXYOXRAY49nlO
MoIu5ZwccsCYXvGsTe/TlYuBBbKpJVJqE2OLqjCGiCZrT0Y3VjeJ6ofHVFfeVzNa0c+0nvzDaCfF
DA6WJ5OFsXADFmQmxYnZcD/6bfSWObZdBZ00ZbRyawTuVdHQjf2b/PxfW/G/cVEZuEOR/P93o8P2
u5bxn51Tv/+bP2wO+j+u6Qwsw7qAH4vZ4f/aHDz7Hw7jUoHW7lAphEfq/1mn0P//sErp/6BTwSLy
ZjMUv6K8/gOnFG6Iv4rq1wwLL6Y7TPeF7VwHDf80A/JFXXlR7RU704vfVJ5MKIl5vSaH9Qpp8kGC
aKj0oX31SuMVJp2xGdx5Qy7t0M+ut160VuxN0Fb7rvCRrVnO99xPxRbTE4xFrQXbMvry5xyNDvMW
fBP0zOgnLS6ad5Is+kWDd76lIWBYmZSdho2XphtaE0FKxe6FPIp3pzD2Xu/UI50kilejnNGk2m7d
aQKeibIkSwci/ljeUssDb7HHk5wV0152LsIr4uSqdpUbGrMaHkXKbjCeJzyLdI4Elmbcq8W0t10f
vzhWCQVQYSlyyyI593pqHDOTz6TrVXpn4IJc2wCP7mCYgvEvngeYE4MJ/ZHdkE0YcvyoB8jvozmq
lQQE8ZkSSznmCg3Q9BcaXouWcnWoQWtpSXerqrkLlVVMaxIeX/SfmhuL3dsqzR3rGtn+EOMMeaYf
D5mflxvyDmqVLVW6ZRsQr5mUUZjrVpey7Tb9LwyydhvNGTXNGmfMxvRVMLm1cUF2LF7ZpjYvDDc3
pa/uiZiUl5wZNshiTw5B5gFWYb0tzrIxY7UW3qizAWrz12Gp0/vcTEhldxSamCZFcEETj/KBjGH0
QIjNPlr5vLjEc236cXqnJR3YpDeyLtQrNPHui8Gn/zyVJr2EUOLUyqld75QwOFh3irR3OxTevavY
Y1SFCaG0EKO9602veXPTDMBn5rL7RMoj4V6wGdJFYdxY1cK2DsG8zun+buTJbQXP59Q0+PKY6nCU
GmgS6URTkQmKIgJNtV4dWm0hCdNSTdWCksphhRp1yUGfCOUR3zmV2crN3l0xajD8I8qWIMhFz5ko
as7mEfV3ZVo/QEUzbkwe80dLZf4JPlr23lC+xp7BcNMYW9libMoMIhoZXJ7O9kjGu0dB49xjTesO
j9R2UXQJmb2CI84Gesa941kf5FqK5zllKiQH19xrpjlcz/0936qk7UReDw58gVoIJfJKZCUS8DjW
dnWYel7SFXBiVnRbznci5tK0B/L9O562/PHtHM8XsHzXhzozkQuVlvWxw56Yh+bM7wD6jhc0ehiU
EG1TtK2xnFdTXzZvCfffNqVCBkAUKJNVRMuYE7gJ+7EGjeBmhnvwlbbLuDUGs/m2J6SdaAB9/+uT
ZVHWeJtxMHj5Aur8fbwksPvguFDQGSXevTVxDVpaX/4sysQ6VHY1PHaZpUKe9Ugm6fUP781yvsyD
3T+5U8n/WFzJo/bIIkJZFU81phvjNlNW9v7rSiNaxrstsQ991pg5w6ST8tdgmepb1Vw7FJI4G0J7
abFT+Uq8qEpLafgoLfceWJC150Q0XYwJjpeURKZEPNAzj2zNqocAeyBrz68myExvClX2X72bpMC9
aucWZ9t8bCNDXCI98y6qpRov4YqEWOTb0bsviLMBPkrYekUTLzR6vKM7U4RSxIn2QLU5rEUnqx8g
HvnbmuDS+tevVaqyfqBirPPCjkE7Nff96IU1PlZC4pZ9Mtrr0AIIAZh6hAX2xYq9l1tMXPXobfgz
IadKaw5FW6dhly03XZXcjOT/GEU8ji0Q4NGu36vUC2KI5qHvnUU/3OoqvktGnZwfte5UDv+0lX9E
/wR9r5EVFO5l6syNOSbb3lmeY9k5K6zy3slxeMEmsvFuauxjZmj2oqovPc8x5itmDaonNZyL1WRP
HVVuN87IGo6IE68ctzFDw62uY6P5hsKGlZroAY/qg1m50Z3RaxjiJpFtvDqeoRiwodo6dQ4Ogd36
eoaAQFdvK3fjSNq/9/I24cxlfFXxhFNAfHOgq49tkjZHpEuUSVGCsBf2D2n0u8qz77EzFWE+DuYt
5KfoDf3ileLyH1SfQTmrunIDz78HoVeNa8Y3sP876icCcT0rNo5TPwwcj0LSkctXOdqhWBK6JYAL
bZp+eqgQPw6+m2/NrE8oRl74gVPH2EztEAWZmvNT7hhPzqwLwBKcqaa5ZIomzJ1iEV7p3tBgps1p
HPOhTMUI2WCW31p9sIKpqvXTnOvuQXLhb7PZ0Vc222PdKNsQZELAZPSnOTeXJvXc71QQxrRUq7+7
jgbdMc8fe6NDhJg1qqizsQsA5nnIRNg+8PYRnQGvSDnvsrAemGOxi7PFBC6NMSFcSI370UNbdl/J
3COOV958MyVSNWszHtOeKh0Bi5AW22HNlKs61YZzU7Dm33NZoRQ5kXFHA4eF25kASlgOWrbLq7xZ
WR2Uzc4QzXdnQ0eAUYGLss7R2ZqPgczqqvUoMc+M8VVHpEZ/5mnvi9beEsn/AWP8DW15q89t9KSM
BnnOzMfANlUOQdfWztKCrTRXeuhwG5IFrOJXSoA75FNz1WNAPBGfiNdsErwvLKDjxbVTg3lEe91D
EO4NaeueDxyxcBOPIvIoex+zp8yFPWh1VvndEbtEnZPFAUize+XJcHwYtXHDM11t8o5/G5cm50JO
vm6U1fdAXycy+C07K1OzA9VI76YZG/VeUUH+roRh3jjgIkObHVYgAXqvCu4iVvI+HdwQKb4No7z0
/IAeh/g0TvATD52IjIlo0AK0x2+vYmiLnNx78XPvTNqtY0gvzE0xtfyINdMTGWvrkRqtk2tLiyum
Aj9Qt8jogbUoHoPTUN8gDbsYCEqCpa1dQsRpo2e/TXsOhkuarRk2kgVisoI4hVdpz04h3xp63a7T
CUg2mVC00EROP6tSiFuDorMnJVO1A7DWvjhtTzc8a+EqXvwkVK5CLrEaZgvuQn84u7ByHLWDzik9
bAzR7uqIAgGiPFmYRXO0wZPr8bGKdjtbxafbYQfvJEd7RjL6WUaMiAuzlttWEHUeVB6F7BnOU51t
LE3bxiKGeegtb5mUdbNC+aXyTbWSIG5uBCmNVBtGYn2I78XaLjXqCSUsW8kIHIGcnKxddOPdgp03
yMe648k1erezaouHNuvUziNp+2b2IGJBI34rF7hd68z9xm+ceDMUESd3E4iulGm6GuTCLU7jUkC9
14UnaH2L9WIIGn+YsYUq+9lspu2kJpwJxLpmx3RvplTA7fG8bDtXxhZaKbxJQ66pa4y/MedtzZ5H
3khx8XpMMyz5+oR+PRodjPou2sObOaVxe8GpYSOUe9l+XpzpGGUexeirjGZyY+2Yy8XPWV2NoztA
NhnX2ZUgfh1W0WF8TwMh6TQxdCoO+IMtmO3IBzGPhLjVIcL6eswIxFXFPDHkbVFMGXAwSsriMreZ
oGfjavIakQX4Z6YMVOU40KhVwmAUAWYdCpmTnJy0FThmVIsdT8OXqbTuYXmPG7SBIYytQT1E7kKw
cV66mziza1LstnXu7eW1Xcx0vTTOJfXpBicMSFbbr8hAQWm8bd3G/uyugk0mquXT6Iz+rEpX26TG
+C3jWayVLUbM3aN5PcNbByiDitUv6e58VYiTcp32cpUl1pSIMdDX3HdMvtf68iH7UH08h8xFLahM
MOVKLXWCOEMWzNuuCsH8k5NsEPcbJITt1IO5RAx59LV+uhoyjovJRhsB6ssVhMSttgTca9B2VFs/
Eug+q6hP/QOKp1OtM+O66Y9n2X/qluq/KCLNTkpVHfv4jpYjJ7X3cJse9HHw9aBlL6Ot8rHP90gY
wCyWxZpPVop3By1jeSmQKc9dUv7gAErlMyI1c2nVQ5gCHVqv0ir50ZYlT32tLb/c0bmuWZRCb+iE
GjfS0OUb2xdnLYQ5XfoIjid7oIuZZvYt8B/GsgbR7YNu+XBZ54U7jdaYZ6ZQw7Ft4Nwsxehh/pj7
4vY6wETgoSzps2o7YqRRllL2ZSQ8CnT/SuziaFizDyh878uLdRaOMbaNS4qG/QLRq3lbzJKkSFKD
0xwj09JY8l1Gv4Ouqkc8evXaNhYPomlfbzoWxrVnLPt0xobRUHTEA3rJb9J4UG+E2IC/MFhmqFkl
SOwg42vE9JpLKGZTktUeNXhV6veP0B1kzISsbqvFJErOc3BhppeqhYo8s8NiIttu/Jl0ZYmU36c7
2aoGxnX1nU8QXrs5cjk+dqdcDiXnLHxWuNbGuzjpmwtE0mWVwxAAQGZpYEFrYvORSebV96IDH+yJ
gx+Kj5/UG5DXHqMXLf4v//33SPi/UX3oPbsSZ/531efmW/2f8/eU/qj/GRzy+z/7XfgxdKIquuXY
JqYEx/kVjPs932JcW1MIqukWSTo83P8UJTev1SjmFRtIPMHFz4b69IcQdK1GwfXN4ZQUwVVM+k+U
IPsvzlWdjiQO7ETE6XNGD7L+4l9vMwRwFVfZSQqApB+wsyFIVRYB7bWe+FrlI7vQ7TjvUrPuSm1f
g9m1JY4Bt9rVgLK3MFHnL2nGA0RVnTaLKZvH5ThVjvvdysJdpaTi5dLuqj52cg6SeaFm64F6rIVN
VzAOQjSUM7qVLAK6Jcn+rvNlyRL/Vk+13r0f62Gk1rNxetxFD2YlKRR2GOfpb4WpKL0PFksTQ0jN
hV7RWQskOZw8l2PIWNrzQih1sfMpASD2q60lEe5SU95C7zlVLsZvvS44UsrusYPlYqy9zDIL/SVt
f3XBVM2vZphOhw54TCncYlurtz8SrZMbt23mO1sUFel2Oo74p86sLe9NhfnoN5/4f2XXf3MDEs8x
/jZftv/6SP507/3+L/649wyDBBm7abIov24+IEB/3HuG+w9hEhUlpEkAAPnzD4gD9yQ5B10XtI7/
jn74/c6zDIKstIPrhKBsLnD9P4L2kG77swZLrk03ddYEIgBgKwCo/1mDzY2ohQQYOTd2YuG2AVfe
HiERswfRPAOBPw4mKilN1B5ycMXDkjY2E3jhfifg4h4sN2esYNT0LTgGiW9XS4+26U60HULbjoIG
vixzioX6TEpsFogKWiFiyC6xUszMqzbS8BunhUlHqZ92W47QWXbjisRHs2gLb5N2SbWnxsvEbze0
YTkb8aoqC2sFiMjeJKkBRzDzh3v8Rr0MMl1Fp4Lz2qkbRL+dnbE9CF+qLyS7d6vE82f5HTetqt0t
DunmXZIUCjlcOHvH7D5MmRn8vV7CKd8VFNwshIV2elNbG34o7abKtGjCPDJuEkz4EssffJ9Rhi6z
yXLc4Lm9WjmhFN5qSSJeRgp9LNSpFSNpqJZpol/m7ipJDC19S73+Utip/zTZ03xL9bC5bYT/Mk2e
sx71OYzMsby3Mq3dWYMUN7Is5X5ADcRRkqancqzV3naS9Iyx6MPvWzSOpgI9Dn3zCJPC3xa1Nn52
uRvt58g2mRcaxTemWLleMs/4BhPltaHXyXrni/R7GIRc+yqdXm3Dw3Qcpxn0DHyTIWZV712IIV/b
bpbw3dQvZVq+QHlIzyxmhOwTNb5FPUQ7Tl712spTN7SbKzTfVUzOAyB1tgG4zAe2v0zWtSooafbX
K/KpHTtn4xkRbHMk4HyHlNimQeK6oKwBruIpYgO81UcTjDJTajUETm7EFys38rt57pbbSCV6mCxW
e0pMePMBqEObdzFrNGrX2tI/SJSNkp70ARBhcbKBGZwSTi9n+uyyDS156k7JVm7ISEw/egoBABvo
JjVaudb89HFNgNhQlrEtAaqfOCOlu8muulMPZKiGW6/ir4TSu7BoGsoYQSLEwTw07tFA7sO21bv6
DUo7RYfShz4vK6FX5IZHH25HNzwD6xlU0Jqz2ORm3rJZY81eiTihFToRNkiHUoP0WeJzHUtqN4K+
of8URanGeKymU9ryoSimaBhfz91TzMa0DEZYKD9rxPO15xU+xDqC1tLWvpzF1gOQTRlIQRpMAlNq
tGpMS1yCTzKbjZvp/guKcB6M0j02EVOH0vMSFEJb/xwhAl45E86PvI0WvHQlRlhiLM72yiYK0LHU
q19b5p2WRy6dIKBIBlCLMWVBJDNqBdoj9Bj0HDwnV82qjLRkPQ9iuXNtWCVLy9bYcaZqRWhA7Dvq
AS6Fbttbr1DDs53Y9T10qWQGn0pa3vXjFAesOQd2iQ0i9Hz+JKfm+BOIwqfcz1UtWalxXoPtzTjf
UFWQKm95GoFIBKNqjU1iU7+eQLENZG9F58Sr5J3j4LmNPPmY5ppz8c1hJytzucVHiyQ8uQd74LZm
tCOmPUEjTtfKqe+yUmhrA88mOOLGmx/oyGjOZTfikBVt9p7qBgYfB/VsYPOy9+Y0ifYV6TYwWi1M
LM7s5tToZw5+aFi1uo+tVp5m6khDFk/9phv4udHZ6W0rU6qjdIArsan0/dIaXwy7nJvGaqs9zQFi
X3aDAxClK8OJSmR8CVG8lYLiryhtiIE0cxTMwuwfUDnm71IHvLFo7rybM060tD8wfZJA12FV4UMz
UjvfusOEnzJiIdfF0h+pcpueqkK3Nm1Txf/D3pktN26k3faFDhxIJIAEbjmJEilKlFQa6gYhSy7M
84ynPyvZ9vmrqvsvh891R0eXL2wVKRJIZO5v77XXLpCqW3MqDCYrLER+GI2bIPW9N1ma0X6u8PAa
U+YzbaI4AcHScd94CC578n3GHzgRjdU0RnKNE73/lgRGecLfUz60dF5gJs9pxarN93DJw20NCB2e
1gBBaGjx+lZBHb1ZS9gdmzx7aBlL0BVGP4NsGiphNBluKTiGj5O33Jsi9u/aqElpAO+DZWuHbkMj
C1IOR0RcVqk3bHoV2X+EWlod1fQBLJ7JPGsm1TzpGK0b1zGOkYEQWVbO+FJN2Jy0nePBxVrNfKB0
KV6JuDekW20WxyPgGqfTbRH1BgtWSLWkE9tf8YNA5lXAKkVQFFSblOJ9zEObQcfyhfN7sLbG2do7
gwsMyDQC5zGOxbShj8MjyZU9LKa4ZvdgYmaQAmetOfMFF2zmNyoezmOVhi/g6agO7MEszFCT7hN8
1xSy1uH4bIZuTQChVjch5GqySGng71k3iet05rFVhnxYlv6+pzR6VWdmduj5wEAA9f0T/BcidSh+
3BJ0YfgCAu4SRtc+FsuU8Q1iVVPiKpZBuLaL0NvHFBHtYBJl21ayETe94AhPJr0q3bYn4QipgfFZ
vBmrnK4neuF2NNrGVLURFbVQaLYTNR3H0GlYvsdgfI9iky7awXQPy9CqD0FVzu8NTU8np23Orcyd
x8Wzv5izDTTUDyjdGyXk7M5YrjBTkdJx1PClzaP+xnHz92RJuusoUSG1BeDgBpSgPTXOyl1NRtje
xAgpTFZD+6ENi/J+qQkueDy5hlWSnEVYWW/GWIxHn6cy5jARDC8ijo19tgzOMa/i5MaKnV0pk3pN
wBL5z36eDDpyTC/PtphoAtz/Q/bke2F11XdefVd5naD+oJI7sw7+8JjS4dyMoisEZkQPpL99W2bL
MbLt8UBPTPg6+JR4q3YoN9WS1RuOess38gdPESgkHL6JeqSrz9l1ImVYij165SbydmBV3VIK9BUw
lsEIzo7ukqo8ZqMx307udJwDYX/J6pQJZYIXEpbicIU7zN/FUxp8bfp5uiKu1HxFJkBD8nsfec8a
rtWY9LvMbb+OgnXFN3NBG/CwSrVsk/XRu9E7jA1nUhvKS5Yb359XilT2YeoOqsRKTTFGTrohK8N1
5JnlOjJV9kU76h7ZVKWHovZ41DsCRQLrs5fclWUnrnwVVqcstHe5K6srbzKb21FSRlxMZOWjxM4J
jlnhEVsTy46V9PsQ2QapfEzcexRlMh42hsbJ65vNnCQO4+/xawvHBHdlQ+cx+tpyVzGGXadOI0h+
NcXO8cbpvfdwMGKJXdikcHKkPoJKMpy5DCA3TrlMHwWI7K8uFhyTbe57HvrBhjfyLe/zepcgFJbr
uTBwObamt86TFNby0kC2pGshT1aCiqvbarIYiJKw2Y5DjgnXsMPPoGusDePmkUcaRtaV4+v5aZrc
se/FfW7SxmS5y84MKp6gYyBuFtYBBg3sNrG/mftAGuY3T3nOqgPXvuo75oql24VbEeM7YuvRbNss
PTtqgVXemjPaa9Dq2buVXJt81V91pw3eZ8IHqugrYglzmzLT7lsQEEaLsyxjCFSrQL3Wkam56RgY
ceuZZ0WE2CK1GyYnMXbiY6pUBvkSwooJzYDxa2rtgmLJCvHoTUGfBJtg8KLyg9jkgP0AepufP6mJ
bJR9QzQC/1Y3eX75NM4Dn1rZfeLBA5FQsFNeJQ3wBAAxmVAD5qbE2Th+nKrNHIXFxqAqsqMwZ57+
qNwq+hzJla/YIziv/Ez51QhHepqsobpGyafjTQzetDFbL77pB6++rSv+67J1yzfJnSfTudnxisZt
6qMg9mi0VzGeK7qQqqn4bAJT3GKr8q4hly/cwRzmTqp3nxaA7KuasfOnnVUEcegZqw6B449bRnHN
Q6PR4kSfG8a7VX42R6CaLrNlpiDR2O/tjAwYqwEtIjXjp9JmC2ONbU57Upzu3SaztypzrINZtDBI
zYYtgGPKLRPZaeO4M9x3ZfB65KzKL1M82C/g60HQt1RTKgZdBr1qeO3WJp/cwyg9iNG46d5GJ7gL
E4+P1cz86ZEpdrgZkpD8Rgcr/HauQmuddPQLNJIa21XreK7281XencdTWJdJ1v110gr2yG2FHDLB
mnsKvax769h6cmaiXmkuyB3kztLuPP1hQ0FNsJt2nL4cCtlORkAhzYoSF7pT+8q8BvpVPwZBTkk9
qKEEM73vXKewwR660G9WYS3q54ZA0KuovJrkUvgc0DB+tC0obcxQAZxLq6rImflIsv1gHpSfV4/0
3bcFeZmqULf9FNnnIqrf1dIwXa2WCas8vtVlTSEVj/14CW04rFng3qXZnL0kJnNkLxmDKw+djKgk
7tQrjkLdFxTU8XMwBKxryw4PbR5WG95RsUtAxJXEGAss5W7nMFSrG/Y6uv9wE0TO+PvCro8dv4H2
1ZTTfF8rDx5s4WfxQxP67MTqhVH+gEl923oGRWtq8a+xspChR6w6OjQlXefSV6fM4eSgJpeLyTR+
z7xy+QLbO3BW4J/55ZjKllvTSeeXlKUCk+wwEtxM1HJnzCVjPlI0V501ZA+F3ifJheuqWZh1itoM
bwIrZRbGzpdws1/uiyQQ0A2Fnr0XeiMrnOboSDbXcWGS1uF73vpzPSp4i3GS169lR8PAnUiTVgJZ
Bw9wW9OOQcCvbCPqeiKXeRMWSXf5NBiWjveCVr69GzELj4vBmF+6Yqqmp2U0cF6sjI4Db3ffm61U
YKd6ZakKFD556QMfSeN5uzIEWrWWrSgZlP6f3KbF1Waef1rC6SowVP2UUa76/J3++h/YMRe+1ndh
cV2KDlKFumd2Zag7P8NqqhqQQybFeIKe7WwMX/MprYFvRFcT4mUJv1q5vBoS60amzs6wm50TId0p
UFz9sm3J2fCrkvnFtVvHf5Nl1566f3tvrmUKQCxUgv6MEsrhOxRmYI2nqmpOqmKvGOzJGv76E/hP
L4KlT3OTYCaonz8AsLPgXfxhPMUWXnL+75KyK1S5u7zMfyXJv5EkLep88FL+aibwe/Pepj9A9P78
oT9VSd/5Db3Pth0bcxINQfrv+0uV1HBZZEHcxpiUpfpOltRTBGlJz8VxwN5BwzL+kiXNfzIAgJr1
82VpOyZsK1YnU7o4oPWE4DsrKMENKr4wlB9lvvhDdEvYB1Ifa5VdJ3NxHFRszzR7xkMQ/cHxyqtX
KdXZT47XuNft0gWPWe4FzMJ4+7eNSNw7C2PQcUq4AQgvwbe0COyRLEP42BVE117pF8hPDceyZEOU
uN/hpY5P1uRJvQEMsYkPNI9UIqJKC3QA3gJCXoEy6505ePl9mhLd78axf/ALlxlyPIfpc4NH9YZN
tAfwvHGLV7Meg+fejPRz1iv9hyzy8ofG6p5dL12uW4ABV0qo8N6tneXBFFnzMIUy2Emft78E3bQ1
RtndoGwuHLVkukaHmbZ2pPtkYjovn/o4md6Vyut93JY4J2xG6Pd1XbX33PrRCzJgT/KqTKoNvhhr
50dKPEL5jB6cyU3QE/TI3DDB1jbhaB29uv2CQNiFK4G826zsQVprU1YLI8ueTYKYfk+nqaGEYEjb
Pb2i8bEG2c5RtHLar0QmxojtxBx8ydIkPzE5j3ZGFy03Tc7kCeySDDfMWNU6KXjqIOYY8b3lt8me
PpC7MU0SNKiJtHjkUOnOwrU3x3KEPlb0R6oySKGLHBpgl4/z49xhLUlp2VmTirbYdZDCmq26uFW1
OR7tFpAunjj5zhSlxMEqukfXszIq31MDBKJVdXjmI4vDNYLa7cJTbVcLZWyKICvOBubJx262uze6
rrJvs9WaT9bQAxNIp+KO6mDjRFprhyzWvfJZgTmA8+7f162Xv8qGSbTwKg4lOJC2tNMsV6NJS5TB
E+mzHtv2TnScv5Kpm9a+HHTfIBeO9i34/oeUSY+XuBHwEY0FHPp6yiiBtDnQn4tWG+JcHwrbTJUl
EYly2HlMr7Cg2e+cybxDQaHxlU1X+slu2I/0Bd2nFFf066ilxnEShk/nJ7DZY7XY9j5ju7Y3Bzf7
Iyko6DMrQPFxGi53jPAr4uBOYHx4pUS7D8KWbGE9uhkql3L6Q8EsjfUrolcvZVwm8yDBsJE5r7HI
zRdSbdPR9VMTPkDb38Y4HWjaqerh3Giean1Bq9KKA2XVicMn306dOw8Ea6NZrIOmssYmfFYLCXSb
OhJoa38BuArNcnXKuofgpQmvbqthry0mShjHmgErNQ2WrRg5lAsi1qs1Lja4oGPdJsifWUaq+1mT
ZQsMItuhz2lHJGp5qy4I2n5AFEOkYbStCbV5CKu2iaDWuppfm11Qttzb00t7AdxykJwfXTcFe1tp
Au6iWbiOC4SoXwYMSTnslWA9GKDzd4Vm6CYB/bFr419o3RRHlBLo59Q9l0G1tus6YCWJq2VDU8Jn
BgTLo98JYq+8wHvjC8iXmabxHA4a7wsqHtQvWcdpIy8A4OUCA54uYODKgxFsaVowHmTAwcgXDRTh
zL0whZnDXhDDwLA1cZj4W5jTeD/OmkY8XdDEwb84xaHKq+6hk1FPp1udc7dzyrRaY8HRleTog7BC
0/GxSabQ+7BJ/pGdjbD7js6XfEjGWm29ipaDndH3XfI5q6oS6RU1dE3Dg4uH23/3AX+zD2Dsrh+k
//s+4Lr4/Dfw5b9+5s9tgGf/piAsSWUzT7Qvz/o/dwEgMfH9+L6LAUCXeVjfbQPEbwqrAN0cGkfp
EiT5f9sALAOKf6F/DFgTrSP/yBfAhvHHbQH4e3C9/G1gl5iwsYX5cVvQW20UL9FkXIMT51Kvs+zd
SQKedT3lRkBV8HcSy23nZd32xjACjLDE0Y2a/HZxA3tas2ykNJPFw6diRMdTdSq++mZC2ULopyG+
l97INxMVnVi6luJr7gTymrSKdYdF0CXLMTSSJwQmPXqjWBIIVWcutnTvUTVp9tBM/XBnDu952TS4
HqP0ucNh+lam8WCslyErlqvUrKZ35oL5tIpbY15w3YUkLSafs9VKdpRX4yqo098jg6WEsUxO6dNs
NQH+p5kSUZYvDLGZ3wMwmvD89ThP0Z0acAQA1z0l1w3bBUABXiKvap9yVd2XHR1logZvKykaJyBR
ZCBvefaVH1VbVW8lDb+nvp3NdS+z9kBtyviB1lm8EUUHKTN44XxAeKvPc5WE71ZkWdAmLJ317rHU
5zC7oatgLfLG0+JM5T2nvZJEiEdbymrOR3WVAVw/eTKfznYmqembaTBty2ulRrwWNZDfoeibFeSD
q5FM7z0+chAqicw/JsquVnLKvXvXEegyVMg8yhlPJm2G7dYeZ7kPlkoAygBiceN0odok1NcdAPVQ
x7K0or4ZFh6a4IMcP0QMqdXRM3OrWDfGnD1LuAePsN+ZE/diXFZ9OojXWKXBK7nT6boanXqrSQ3H
cWFL1/GgW5X4hNfjFCzHJRT9S5bOVb12/Lw5jkFTH5DaBsqAOamhj+ku6jZDYx3sIttWjLWSTTH6
iIVAq4fbzJgaTR/W7KGLb66dsA7TDMbR1iIw/5WmdVpfoYDyWEhrGd4XHtG6PYe7+AGOo3yBER+f
/cXh1aSpmkeBe3EHj90+CCsZICP0ZbQ3ZIfZbcZQanVDvR9nMTwAbc3Wbp5Mb0YRNjfSzP0/GEmp
ZucCFLRXQgI/2RJs8h/Ye1LNQyappKkbdtd9ZMcFU0GPYBS4+yX9sKtS+rpHMt2GJpVnvoOUXeei
eOJ7TLE+t9G9mpL2thVzdKOwqftbUY7MaIPCZh5GafCGy7V88mRt3oXADfHc1vx7UYb2bT0ALyBY
nVenhANj3K7GnLv8dSpEovvFQyh9fDwTUgnGdqqh+UdZiLCDk+gPc+IyFPInMzsWJvMpIDikh2jY
Gxm1BsNiBg/zOMj5JnKiZM+m5l54SbqpbHg+UoLEme0GjAxsuWHbAmB7CwLEa5EFQ7ZRPd6BdVpZ
JfO41nnseweD4hwL4Fo2SJCoiM2TXeXTsWMwf8W5hQIBeHwMlGY0kAD8tieZ6DXcLw9By7R3FWN3
+DIFo8yPbt+Zyb2K8fb7G7taevPRXlriOhlbhMKhEKY29mPfPNtZNJ6N1PM1EUuO17IZboawcG9L
DvRXeUd1fDZly1XV5/OZKgLruk+yegXMJ2QE2WbnsZEMWEfqMuw0IfAm/Yy2Dr5IkOpQbxA72YGe
aN9c9TmpabOLj0Nyg5DG3ySN+qpXQb31Y+vNRbRaOYlxkyTWqq+Jk4Kfo5rR1e4nsiHPEZ6Y6wCP
wVrwsezwmbV3sWm/+T2IM7JvjBPGwbhNFgE4Sa/Wc2++FGyR2XTiT05xdLXDoVv4DIPOhAlgAfEQ
7C13kMS+QJgrVllSPntqpnTDqz6wi2dbfMkP5kxKPCAqFMrmzh2T5L6ri1cEMOTT+UCNm7ljB/04
xDJf5ZPq1qM5M3ob04G0czakK4af3p59YcqIkjaRfmhrYl+Re1szY71pZHugBj7czb43XFlywI3S
zowZbUuZ2CDT6KYJlQ1PeayWN0TG9tafRnvn4uG1uIwOLt/20QwhuNE8UjyYU11esTM0rmzs+esO
Ee40N0EScP2IYeXFTnWu59l/QIpDEGRUl51pgR3vXL/5VGVk3qRxKA5L7tdbo0Veoz1kEnqZJQq0
8rj8nhTu0I0jnHJTw3nZLnGbQycP51M2Yf2eB9F8WVLQ5obDNM3y47NDWx+3RMoQdBjaU96kENLz
LH8csiA4O1YA3V1Dg53SnPGXDgc/MKGEWTJ6z6bgPWrN+mxVary3Jn86xPDdH9zYLx77EWRaJ92b
FosIJlwuncQwX5w2qgFy8Af06YASX96plaqPcRraB8/wsbf107wj2ezv+lFl3zS17LSM27Zf+uPY
4ZdbNX1rn1hjjGPSxYozd5TXD2T3oP+qIj1IVUrKZ63qyp/a6MPOyPWvfDL5a5X2D1yEGbXhZnbP
2QehFOfgNnaXFp+Rea9IWGw6K2mu80XK+8yT/sbo5+rOGcVXZ2hc5tRG+pj7WMedTlkvHVL9rh3p
mOXKiFKiS4wx1/jGit0cWw0eWuleiarByjC4/o3TjjNRoHi6djsekVO6uNcGHYd/4mb/u0/+232y
77Gz/MU+uRx/0MqEffmBv7Qy8zfhKNgN3g87ZPqZGFYimVsKE+yPJUzyNx1qxpovYfvyc/+zQ6Z1
m3y1ppq6lx4KtNF/kKFGIPtxhwz5C76ddNm9+6alpMSq+L1wRt19NxQq9m7MOp8ORtJWlCtb6cMk
nfQzL4YFrnhnU2eWOSgN6RykJynz5o3+H3oUAtUa9yJUuNyjah7ubdkFz+nC7X2o42n6iDqcYNdl
TRnvmqOkNJA7FvIjNMttgylTz7PTjee+qSQzC7hWEEwTL/schtk5DnXvPQN3pOhnyRqkhM4T1sws
hFFgx5Mr8plcMGLPtkkka8xdhe+QUcyl+4l8k/2Bh/U6zLLllPjT8NLFtf1AIyWEN47qwbdOLvld
aAy3KSNnSFBFnLwtgazfaXAbXqawztcWiJtvxFkrFJbQIZfbTOq+woDFln+WLXd6ON0uqhEj1gp7
/qZywziXRcIsWw3gtgbAGNeuXWESCFHr4tVYSvtoRUmKd5cFw8fFwrh7oUdjn4Gk35J/i96omib4
h3QCXEI5UlFIhW9yFlF0x44BaFdfhvt4zMIrMkfejWPZoF3KqZIc/WHn51G4ENQtogyq8BxRFVUK
S6seOPiwPtql/zkLEz/h7DUK91s29AeeA93aCtL6pg9SKmdb+EArqyyJF9WTf2jIAPCg5lFGfqHy
Tjb7dR78g+ofBq0ehnNU7lPDbDmFBF4HGCPPyjVqYvVYZxoYpjwDaNDEh+NnRBENFI87wejXXHnh
ktzFLgifdYjf4jXrSd65vd15B/ISDH2iZZ6AA4bKZ9vpBt0mJLxDe3jR3GGTadbxRFP3Cv8MnoZx
wjZnxm130yU5lVhuNIX3Xld9Q+ia+73ZLXUMMUmW30ZabW084SBUVjQqdx80Tbl0IzOqfw76Kbke
ZFFvF39O5DUW1OG9AoF9747NsCmrwtn5KHKKIweETlH6HLymGBj90rVh8gyWMpiG82J4MeElAR+g
u1JiiB9GKr/usePNIvvk27XAjEY5kh9trHbBTPxoLs1cEut2VR6cQt2PlYuS8ZoNQ3F0Rpf9Fz1a
ocdrkGKjMWx5tHXX1nip3eqEGIp9UAgdsqSXq+AOXYMKVjdzR2tXm6egHxPaFmaQHZXu9lK65YvC
0HLbmjR/1Z0IdoluA6MPyyL+RkNYE8ocJJw4WB3tYaVJj9hU2g9MbfYZ0uRx0V1js24dm3T/mDvp
KrJ+mnAiDbqhrPAarkC7qM2T4ZSzu2l1mxl8DzwihJpurLzJt3HCBkxO/njsdRPaqDvRagfRB/fi
Uh/ctu5vcGTkD3TjgB6NSzrVIDDiBfbb8xJxY6YUrxG4+SIoYnMzL/2krdDeJK4brco4aZ+M3spO
2TgpasyQR+PJEY/NpeLN021vvu59My8NcPgfybXSCjfofrihT+8xiTz7ujkupMABirHcJ5TKubpd
Ltc9cwH5wXVyKZ/j/Ontm8XF2qS76YyEljoCEtHGHGiuU7rDzspcvGhWYj24FQ13LE/0fevWO7yM
OTQpnz1mqJVPR2ugtVZDZ+bcLzKz7VeVw+GPtGo6af1U9Z16QmPpD9VFXvUvUivbFNbKWCuw5jKV
iBxalzVT7l4yo8n9olXbVOu3pVZye63pjhd5N9RKb6A1306rv2PrgMJhUnDKtTZM+6p3YKrybrqc
aTB8DbtJa8mOVpVxLSIwS601j1p1Di4CtBtmfNrWRZhmE+Z/xBe52rtI17FWsSOOhceYYNpd0nqM
vbXaPWjdG6AYTXZaC09s1e+aFn2c04h3H11E85Cv/zXBwW05PYYura0LrbLPWYjerpX3VmvwSoT2
I9Dr4lzXUbidtVafadV+WDrvOjHtlpi4VvVBlSDwyyjuH2Ot+ntRK9+lngRIWKfHSU8HPFG1JJ4c
cde2Trqe9BSh1fOE8DJayPWUoRt8duYc1o6tw2DU1NOIIWlTvBceSyajCqFnFrGeXkAEVh7ZS2Ya
oZ5uELFGKoE0tdxAKI92uZ6DxFYWfIkuw5Fcz0nY/sUE8/X0xNJzFBKzNVE4hiu5nrIset4i9eSl
ChKGMNllIENX7RfMfNZxwbJ8XMaSwU3mmgnXm57muL14xIdu7RY965nHmmMSUc/opdKzIKmnQtFl
QMTCVO95ok/vkZ4fycsoif6RaYt3jhGPZS9gL/ruxmm6c9eTkeR8LkXXMcpC07dwF1I4b77OMFQI
3kyqiV9szgKwAbrS7XkSpSZ+raWklnZV4AHc9gJj7SwHGhErc1o+Aa262yCdOQY3MUtwRGoCOlQz
BqswmnvGJfnTiIp9xXAvhMOCrMNXmW36osjOUitJTqFu+tCoNrXb/FnF8t/98d/tj1E0SaX87/vj
w3vRvrff58s4fOgf+WuHbP9GSylLlUmGC+Cx+H6abDFNti22u6i5DJzZoP6VciFr8uf4WFLq5pOZ
wG4iXXZ39j/qS0KE/rddMUE35eGHdaRnuT9XIcB787IknNxDbgHeWlOKKgDAiJGbY93Dve9qAh5L
gCqU5rrCsixmmi8bxzRQDpaOq/Ixw4RMsUTbukzvtsYCfzzYewFXNLrpgEdH1fQGn9LIdj21y5sh
t8dTZ6YxGKPZUuwO4AnguNt1cBDd42DX7UcajrB4YxWshWWotR2Bos4wRUM1AosPVXt+NLyFruYF
nDlxVDy3Zr3SaYXlyhIN9KJiEpmzTlqTQ6SidrrdZ7XX1/ckU9LHpg78N2iCklM7D13BTTYk1QFU
eYSgPPuvhnTtkpeY3WU7+ZkVX1XI+XSbzkW+Jdzv3aV0V7/VSLXYVsrxK6YxnjicaXdlD/UMcyhe
xGSw8IWXMjIYyJYGgewlz64T3NNf3dapX61WIheLMvY/St/7yKb55JlNArQ/BdbEH8Ht0LvyLnZi
c0/xhth2ifTXE7ok/43063MPnG5cm/NsAimF6bBiE+7nK7bOLIl2QLv3KJxhXxhLft+Lvn2eqKW6
thjAXy2Lms9+a81AmhOtSMdsXFcBC/Y+ypL4k+vBOScpyZLtUFrGHQZa72py3AbHLYw7DkvFU7Qo
tuBeX97ziFXrAS8Y+2HKVm9tZ7BejJKii5VbW/KutDWFFEAfwQOlrodYLIcMb9cAi9jut8Kijc7Q
q+FIcmgnR7nsMzuhGHAO6uWrMedQVWkjuMIEtlzbkbV8IFer66gV1ePCMP3UG3V5LA2CjXSIGvPd
1C/uIDCyDnan/RF//RPdD6z/reFon9s6NvNL4H/w7aK5ScCYjsUN2t6YlRvVBXXi71AhEFYE7jY8
stAxFpKWgTA/LsvEf1fUv1lRpUPX1a9W1Jd3JldF2JXF96vqnz/256oqBKuioOvM/bMCGg3jL4+O
xeBOupc+uu8Gczo2aLEAQxd09VLLW/jLn+P8RrpWkP/FvGETRfxHC+yP/i5apH0W6UvBpmAyiDDy
o+gAjKLuDSIn53wgur8u4qnXsPcON/1Yt1+/+2D+g51O/2X/41i7vBi1T3re6Ns8dRxtHfrOGhQ6
k50BfrLPkLerN07A1tPMPu05BUXqrrC6VW8hbNR3f0ia/f/HSxOPND0sT+6/tc7FRiqmrhT2efEn
XtpvDH8LGk1NW8y94kl6E9YW1mJa6OGWg7n69cv/+BTTvzmtm5Ywqb3x+eJ+ttFZTCQKHyfhOcsN
XJeeMXQEDHDhVjdxqV9uIqR1/PVr6qf4Tx83L8qlYgvFQ55quh8/7qIqgj6sfAuRt7BoyvbktZW7
S71TlCQ9V50DOCvWtEsW3qa9ikACf7oVJDAQuXwOtUumo1JhMu0J7IAkWOA8vDPbbeHFOIMpDqg3
s9jEiwaZtJXuFpmyQsr1r3+PHyfH//rsXAbaDpNrQns/R8q9kWHLpCLrLDghPad9ZkMBgfSBbWYS
T2S2y8OUOu3nr1/1RzXuz1fV8VyFvkcER3+j312rYF9wMTmNOEMJEk88n+IrxOfoGxhw5qliAdZs
V+LkwEoA3hf1/8zdeXl9BubSU8AcuW5+vlcG3y/SOp3E2TXc6SHWN8zsQ+gNh1r8jcdT/IcLRQrc
nWTreEFcIz/+rsGsOGaavTjbsT89GFUEUYwHoA5PSdl+TqmNNcl09d0JqRf4/8jNYiRwkpOU/NGv
P/h/X5HQPoEISEdoUe3nq9ayjdKvzcA893Bf67VNhqs8Wh0MC07Nqf//cZNoPZj7kv8pNLoff3dy
I4AB5GCdm7aj1neOsmVth7D5emWWh7xJ4BZCrz3UdcxVTnePOEEen/CJJwLHkkiW8mC4w/QQ1g4K
UGpa3rFL9aQUHsh9FA0QFwtKxWKQV5APb3xaxLPdrz8y7db8+U5XAD8hgvKowM/5U/Q7ycKg92Zf
nAEVYmxECW32l+vmQuBrGoqZMm9k3Zv5AOmy8LdhvGSg3Gaflo85B5oYp3adgRVE4CU/adLW1JBT
+fX7/E9vE/YE5FK6FLGJ/vQ2jcnqB8wc4uzQw8ZWUH/MzE6qN2EG4qnOmr+7srW15YcPBkMsVzVV
0bjVOZT8/Ip5F1qJSRUI4TpZHpwud94Df9J/SHLRvQleEb0RjAStcwFEsSFBgR7H2X+M+zSuKH+b
u09ZDlzpJiuAaXATxNJm4dTXxOUjanlquLDKI//YDgoMJNH8I/Rj+xrvpTihd5aHX3+M/AY//1r8
JnzPkivXshXnsR8v2sVLfQxuc3guefyufcq/mk2iDGAyMpth0Q0RDhpG30m3sRwjA4M45EGEb5Q4
+Crj7zapCKqAhSfWQBMhh4JhCY1uj2efswby9CwJnjrBsjHlgv+CaLjxpTJAbhEKLtm6jyjNzhre
HRUMpmVyZwBuYpecRy7j3iQrVzaK0ZmCkOjgtXlypOqsPA1JoGrKWxqTjDt561dB9eOdKOfsw0xb
sUEiaVCp5oX2pnkaos9ZK5UwYqNiE3c8v29odSMLU8ukuq9NvAXridAoTdZlC7NORZiJB6WM6rkv
smTcyECpR1I+EcyiJEwJP1hDPVDuEDbQLxHPmrXbWd7v9GyBM8ML0KX7ZVo6Jo6QGiGB13OMYYnD
8BGII/mfiuY3RDf/Ee8BY1mF77Y54+0VNkbLrnAouLAYtKL8V9W9CvOsWU++HQUb8iX+cxj1PHZT
rhE199xyLge5bQ2WPdyyNfC3CkoQ7650nPcWO2W8LjxWG7aALMRDxVOgjWd+bIZORhxYFgax/wD1
fBJJhj0mZfrJk1lEGFfXS9GbqrqR0KjnW4JI9dGYfI9431zm2GoqnXCywzg6DanffXhF6mKksiJT
F2Y1G18yNGks4gyNH8NxK6u30TSXV6FDVXhUJ8p3POv3GQLS2onr9opO5WBn6TBWrmNZpebQEWgn
qqVDW2Gv81uLjnKZdA9UiI1Q6JuwctDVyXtxYeUm2j3ICqJgs06FecTD7JpR64S5lODzJT42FF5L
lgwFySdYNgQllSITIOtSbXJFL1m6wu+ryKav6BwK9KFKWKPlVGuSNQZ9WvFszG6+8VLhV68c5rCD
MulNCoKE9Zx7OwYnbH6wQj2UaconDbagPJghFEVWewO+qjcquW2zESZgHgY4PoyWb2wOOh4K8ywZ
1CufdcUvWSvoESvbVeThW9shu/N3QHet3vym5Zsl7MaXGicQxUyz8TajP3J5gfrjq0+H6u3/snce
S3YbWRp+lY7ZQ4EEkDCL2Vx/b3lLFjeIooN3CZMAnn4+3FKPxKKGCs26e9FBiaqCS3Py/E4lTnRH
UxISwTy5zmsoiWKNEpN6tct9VqNCy1fITMGztjDIbWfsdd3eZeFxWIc8p8D5U8X0IxtmKGpFQBgY
Lo3k5jhxVBeUdRDa8ZnbZBgjXmCaaD02plz+oyoPLkEiWZ9ZzsKQUzoBfRshOv5NRBu7xTSLwscy
FzPY2csw0PUlL0dZi9q6wyYPADEW6XUPKxZvdhIuL8HwgsvAq8Z7S7ps6onBinpeI6nh/MtQsol6
nPEPeEi3X5tgeZUAeeJxASl6Cg7utuh7GHV24+BhS9kJUUUmE8qqpRbJctcBhioynG6jQVz3M18E
2IPV2NLicRBzsCWbZ7rvE44bdp5aj2losT13Y60301I9wg+Xr6KYeCimJFfK4gFf2orBkC5/GshF
QTuZUn2a2SBf8TQItkC67dc6Z7dtgqh5SWlB2fDp2un+XCjM9GCmE5Z07it6BP8yxVbgRTXcDKyn
9CtUBxKkEsohcFnDvDZjpjQsYgwDUK5VZCHMfDtruduyath42oreBtyXezM1KcKriowSKbL6BdMN
dvMpswy1DS2I5G474x8/YCxXHZtWcecDPzMg8tdYmTSGKov1ucCBORfgkJR2X98OPyCevLQ0SAGb
JFaIa8fIGiRoNVDglZYTvsuFJDfSs1W+Z9vhBmtrhGLkG2gPt3Uhws+5QQ+H/IhlColQpuNuGDEp
2+A6gOxP6Tvf0Xg0BS3fqA59ijv+MYgEG3DpQPPYgJvYxywukr2YBIWB6dpHzNP0NQ6b3pHHqS7s
AXeHZOonMDK6QcUGzEEdtGbH7ZbhKUtMns0IOjtq5p7fnA6Uq46fTv1VrSMDQ1oQD6o0PDyhBeEe
hdqS/11aoWQAg9PxzjoYrc/EyXiPaeY3+bZrzGRvk+aQrCCjyNe40LxTIDae/7wIZDmWdVNS8lby
LAkuXQQnRxLpmHDucnlCfPx1usz6vBP1SyqwjQ4ivirlfnNoQpuvmlitvyEZankPmhIUMnn4bMTT
eDtOkfuq/I75Sg5IsbXIa3U3kWTGKzqKA+bgjEQi7kR7oROWACmo0bdCYfdJTdtE7W0wIhg7+tXy
gdLGYWmyqrA5FEoEz/jMjQFtwJl4wdklJWNl+YReolONiofJTOUrzHzxaBk+ZwA6cmxNoy+IiVa8
ZNuCnrhinQ9yGnVB/eJGtGbXjdDj7fkJ2YmokVuXFUgRlrY/H3gR/+GxB3P4EeKb9Qj9PzNXmiPt
Y9/wL4nL4bOg4xhvZ1/znc4V43nbnGY0OVgzGPbR9mOefZZ1cFlavgEl1Co2qu85ySxvTdUDPsCp
Fvm8gSDApHd5iiwJnde675ivZRwFlwSwMa3mycb9zp6h50Jg9VeEnbIcJRmTi/B1Vse4hfQHwcLC
UxM33fE+Toh1Qe3tNYcJzm2xlUGfy/tR6ZJUNu1k85rUFvnqjMvKwn8dPJejybEV0fUxayoymAJC
1fMTkml+GgaE1TwI09IMEUxZizXyIXGdpOe1D+diY19FgkWeUiRajuROx3klLhgT5xfwthYtB3c0
iawLy8IKg40d5zx2w2hkTo5drQ4j5LnPxKiHd+fx6WBEuodM2+/hmjnZldf7SwCF2TOgZDacYswh
/d8HBAaa/veaWJRhTbNcHciyC1CA1vI1cumlnEcFuUFMigwX2WvXwQpRNKW4TuXSbcDVOakwUiRI
ZdXJkpUIYzVjjQE7TQglCW5ZEZbNqUoTYLNKFExm5Wj+bqIQUhvWe3EtHB6BISceZexWeiMwDPHX
8BnZYTyMunZVzaDp04rVHlnFjQQjuOOkzqA2DVgY604zVc4rIAGSWXEOBofMEhrL9t2lvCXb00yb
ZQOCkxJBXl7XZOm1qypSQ7hrDDLotmW/3G0K+jtu7WbiuuiIxvsCHJmQP45qz8E4UfjJiOcm9hp1
rAbNxkjFUaNYKWqh+WEQ8MUOXT+U8Q1OymZFwFAhrpU5cBeS3NaZnb9itJsinNVjJ/F230ZGFjyb
usbOox6X5/UCfYv1v/fQ+2Nxg+UYtnKhsc6CtD3IvMHBQbGya4Lev0d2WwGaNCEwMUfq9VDBubMx
2rtPk5odacJrco0HUhdQoUzuc5ZOvOek5oNWUs/j3uhT7C4wax4QbFfdKgYVPCZ1nV7ZTivEml2z
OHKyHw9wIMppsVUiXa+C7hGMi+G+a40shhSZ4Uq1Vkeg1oiHyalZFv8TdEwakdisU1P1TsUJJi/z
o1FZdGHosvUkLYfaeIhSi89DAB7/D7rCS7LlTHCTaWpyUzTm+GpZ/JuBGqdYSrom9vFdiHC4Rutu
rPtGM2eWg3KWs8pqO2CqBjGhsStTcXvh7NFssirqAyfU3Ol43kzCmHV7xuMm+1ZRY7K7BDUinmUP
F0YaPod+yAg6HwwjMyrrEwassJZUx5pWuaMXXtBPUzBSq+CSkGTniKO8uI5GGTwLo2u/Ahz5GAeQ
asAZjO+6aBLHHZALo7WIWK1mN7EeB66MuTBLZJBmLI4BG+Z2akrmRL7Um3UY+JcFGX7FJqxpX+nR
qV8yjLdWVce6pxqmUEeiyx74OzsZldy50bIyz3PFDsTZLj5YMk6+OYNrthey7plxnYHAXGZNcGm8
VRgNPRKDnbnISt9BEzDD8uLANnaHlvPNyu97ta+6FoMRx7J8ziqdfDWJNnj0fUHLDloF7syhySvx
UoNtIwwtThKFy8biDpP7GNOx3swNQQYLCfZazdGyHJxLZmkW390IPgtdssLcRVlBighAubXjyvFj
rPA4GmOMgom2TZ7qPoLPzwxhdea0M+/YEHsPNnZhWuvJqY1bZbgVZrpzUCK1UPZ4sCJpfOlrW37F
km7+llNVfiejsaXchu+1oq6y6FyA4gmKsn1Oc+Wjw+2qTR+GxEk2DTHX26YaGyLhxuQa8Zy/iVI3
+YAOK3pwqfHHdV/k0yZrpbmffDldB3YNv8Dwsi9VM/GbyEDEiTnBMjPCCsngxJqbkRZrrwOBW6HJ
dl/ObYX/IDx/g/DQmA+Asv9vzBwfCHwhi9c/4zu//9AfqLljo/2QFn1UaJwBDZl/4ztnw1bX9dhi
zAVg4a9+R83PrqyuTQNnaW3/L8Bj27+5WA1gtsFFlp/7R8orKX/s7tIyR/kd0NGH+YrVu3jf3VVD
RuPRRVGz2CVsbCffkYzX7eyi8+9kXMYVWaERmpAOch5uqcrtjae4kykuqq5FLTwa5OASd1sQs8XS
D+HusZ+a/IJ8zAQ+Ppj0p0El3ovESfoUC+yBOp1aJDpmakPBnBQnzGdY9LNg2HRDWl6mdWNUL2Vc
V1cDNntQjCaxJwV8gNgVW/WuwDIkeBmSyfYPvkm+o+qYER8HPfb+LXkcHpFUSXyJkglXWRsr1nId
RGT+vA6dEX/sga+KQ6WqLNrVbY9tXidNuEo7Iy/IHOjfcP1CJ+wS1/kb5k9xDwEABjmPC8tfQbKl
ZwtLgCp44QwUbwyCEmAOC6HGIpVGbiANwQ7038gHIcaXUBGSqej1Ao8EcOh7VLCCeOMFjCURaEFm
sziR4LRZ2cpZQQyswozYAgUevHL7kkqjJG+UrlYXOOwtsT83jtgg5IXOk7nUyKRLowGNEcz6aV/N
6dc5xD8RDlRXRJPcDFGVOGztzhDtrWwM8YUoOuOIW7W6xbUL15rAsFdYoSOcWuw4Y8MY9hEu/Q84
g/WY47TmvBpEqe8Edvs7l87iq1en2RaPIFLFsynGtaVtdgjns0tlkJ9ZkVhwxNap32fl0OA8VhJv
TMxFf/RZ4rw+znZFUVYb242jG2lhEDjE+bhxEZlunI5aOiXs49DOQXinqCs/hKWBaoRISX+hVtU3
eeo+ZVUR3dlR097qePDu8jobXuKCJlQUiPCk6ni8YzxUu2mokue8HUPSMSssUeLasNa6J80v9FDq
aZF410GQhc8xJdOB/cG4McYQAkQLGrgbPGVfhm6Y7w269fNGIAycnusG4yUaG+5T44ryoZ3GjHTY
MIYYLNPGHteYMHnjuqJneSyV5bpUjy1sKTqfR0268l7nWfRso7S6CGaPE4SopX50AmQmWA0iDVmy
GvPvQjsuNZhHobKKqrLcUnlwpgRDvVXJjBmalo9p423atMcNnrwH71Jg34NfPn38chUq5It9FLEp
jWN1AFfuV1068a37vFV3ce6Wz6ody/0QevVnbcUfRKOGNa0k/8SXJoa+tp01WfT+1Tzl413otvGp
dEb1GAl7/ggZlIBGrCqtLynN2wtjLj0ygRrbO2kyJ3dOWn8biI070IRvtjGqB76glxJS6fcfYXPm
HyYSHj7YGlniWjZ+hutoGcBuZ4a5Rqf2piesbeDpbpcQPqsr+LIFbIp9quzppgxKedJjSxgV+EVK
3AHKvhuRLuw7FHTxCluM5LYM0/E0ov5T6yrCCWsQ9HBi6Y+02TpsrhyjmZDx9DW6PPwNeC/dyiPL
dB0ZJiqbVp/oJpYbm2TjZwczvZvOUE/JrB7S2vC+jrKCNEdgANxKqQEr11Y9p48e8NBFAbuDZF7E
bC6BCFj5RcfAab2rCUdSpkbfPsy5T7ioMqsvbo8cvNZzdWtjbP+ZGhQfIGGgyA8KXVMbRs5TFDty
7TY5fhe6aKYNUYTRFeBy/9JJvA2qPFriOvD5yYSA5TeqE6f06LWFM/kt1xTI7dBccpzDmcrV44YU
VPujFWN5ahOH7IPr6+nSQha1cTJX0+ToLIMZ58TmtSDocacqYcR4wfnVHdY+lIM1kcQcTCnBhjah
PM5DKLYreh8AwxYdtPtKOzQ8YETZDwOOqp8zXVB590lPaX5uk4UEB987MNIvq6GUrz3GgBe07Tkj
EZO9tF+WE35EZgiWTpAE6TgQIO8FnO4mYbTXHi5mhBX2Nuc8WxJCiwHvsSp82ET1RDA6B7rqGgJV
xhCV1bozxy8Ne9690O50jIywXfNLIdCmYXuUmHDsO5qIl0ZnJSQV1QjeSWj8XhnO16RuLPI0h7Zb
46Q5YTGWbhuOEUxyI7uC1O5fBXaWXcaENaWrdP4SmxZhHOYCd4zjU2WqB2T75hrzO6w+Qw4NSe/G
ZEEISV99Du4agSUi4DqOmU6r2wN9qOs8G6Kd0yfhRpVKYBUunX2KK8WO+f6FrDb/vrFavY6bvHqM
PMEKEqv6pOk1bpUKZX4lK1wiZFsOV1VpRgdDE+61cgu32ztCVHeM3GKDWam+BSlXX5EhGzisor2l
7HH85whA7sQdThtL14tLaS1rmLiyuMXdVe5yiw6iwAVjbbbmiPrXTC4hA3hoPMpq3/Vjv3H6sXux
lIo3+FMRqeBln7pWfE6bGhYs2+PlgEcmbPBWxzTgGvjwbYXksYgpvu2x/S6wIYFeOvUPqenK7cBZ
f1tFPl1znyhbukvhQzKI9to1sRPWgQ0NtU3UzRClttimmK/hlwK8RJ8lNo6kQNA7JyCp1J+V6eSf
cHDCylLDRC98+Gn0jfiuvv8p9vNvKkvao22w3Zuk120ayZ9CEP3VBBnhQPCCeSQ82dmAhVs7q0tg
89VG+iWA7szaGRt72hfGygGEuUtpfJMfjgyz7tLm2FOQbPsG414CydudN1J5GbqSe1jtwwVKYRy1
8xGpRCcMY2MuYsGxroat7bXll05qTkZO/kgOhVj3U+wekLrSGZRXs0PWQ+kUCKMhduwqIb80Zn3X
9z6lAx4uawd+IUu0sZps4LXEmVZx7CZLpBwVRm4upqMVZlHqzjPbfdA2IL5FvzKLjPZCXMIj64jO
rRAGlar2Vw1KpRU9AoweYbmjaI12oZNf2chr7oN21Pvc7YODM6XRZrYLxKzl7aSSeAdaDzZQGXhh
5nD4hl5sMPnJ9y2mKZtuhkvuED1BDEov9uVgzyzCnn1DcAlk48DwHom0Tw5zGpLlLsW3JnSNLV4g
cOnxYsSWu5ZsZFnMfmD3dxoO6xfivpqtZzD8qtZA/DCU8CYIQOe0R3aNBNREL9Mfx0IFB3xSDDoq
s38quukuT+QnJ/Se/nOWKrukm/7uLCXEwpT5v89SV8mXOIlef+DKWW8/9PtZyrd+w0aI6EmKm3OK
BbSl389SgfmbA4pPrMQfVlf/ZiD7v9GMN3HfD2wXCOvPhlbiN1wnTMwvIEJBd8MG6x/o9MSPdCRp
QUW2F4MNxICm4+Bx9SP2zhaJ3iBvxUVZOwuLa0DLPx6URJgRxmbpQm6NwdQwzIUf8pSMJXSleopr
tq2AFilOv6UlNvTT7YGcHkT6EwcBBy7pRWQBRK+CsKTv15QtHc8/venbN6Ldv8q+uK2Ssmv/+79+
pF9w5/AuHEwMPXLfJEfVd3eOVbnOQzWri3MvXixok1wCKKfBw9/cmNiJf31BCNo/EBWWS8JJEXA9
pIPRGe/sx5dlkAdQG8jkEEoHl8RbGzhiQ3p196kDIMFBqDGag1AQ/wLdBA1NEWcgLBFvBXqsMopF
dQy9hObpzLYCIOuGPfzphVnjlwBn26qEErVIDx5zC/R874RldYFqDsAnwshqWIlsKTMa1dBTRFVO
bwwCLe/6TNnJ58bfYPMpX7uy5uiXNj6XCuJwiLaKaLVig4Mm8KImlMRfu3wRcgvoaPW7sMV4d1pa
cUrYDAJtAwcpG8Rqcgwaw3MHBqV8/EPWXgRRY6uTAJj/zAkyY4c2NioY61EIThqrxGt5tlalzcsZ
sYhczW2MVuLTVYYG/GINJKSBDFpNfAM/mjsKFmBpmkU8PqlGxuT+NAYNUiuNwX6syvGs6znT5FC5
3uTWHy3sCuJTp4A4vQhaOX5SSzAd1rjWo2Hjhf6h9sVofLKtjjeXtAtKALg/Vkd2AUCIAY+Uec0y
zKXzeulL133G3WFWQft+nBsKQsNM0/g2ZKfGbAN8MUYGaPP8KcGrrwi5wJsnN3geesWPB1qoYtMk
7l3s9vxq4Exe0htk7jpd136MyRyoD84M4WzLewQFlmeuIiwsWuGj7Jr5YZqRpaEPk5a4QIJJ83he
Pom3vByC5ah79EL7CRpjoSnmHUT9eRj0FZkV851Ba4H0vpHJa0eO8DcwvASp7mpiEuaB4C6VS+bv
psLsdssWgeuZbMjmtSiwHuGNdAjpAoRsRRo6CH9kX71GaSevJmC6Z4Oj/7Ue6vwW6T3eK9pJDtAk
HR98r/ReyygbPtQ2ZMKdmBmysSaGfdADIEacat44AtxsonHiynEraV0+G27TdndvkJ/ERI9zulpw
HYA+V92YOGnZO2RiWMTQUAA84/QIYjXb+KqQaPNFFwvBNbFrR3+fAEHrF/5YpN/rUcMuLECkUnfB
kKszBQG+KHZjVUABbi1fHmVW48II0nzbDIpYsZ09OCG8GSYXRs1MSpxpceFtTaNuP54xalQmTAQD
Av54SKzacvfnRrsk1hK1Mk2WQzSkgAFnIN6xZXMAhQWctsuFG+NVPVd5Q5EEsw3IfEx5L+QnUlaf
TxCks1vqkXQfw3g2em9uLjuo8Op2Qr8Y7nIKIP00owoLnhKHAuc+XFjFY2Eo+jMD/fp5cFgg5qng
Xaqu412OpqbFHAQRL6I2C+gIHNzGncOqEp/qBmBpfR7I2Wjw4Sqa1mrjYhBrrTrl8Fvw9mMNPfOa
k97ANxaZTOx+HHO/t7ANC1go/Ij03y+ercV17PoLVJAvKJcBLjMevDBS6ScllI7qlewjqGeoeLMP
dNdaEa/he0h1U+ETjn/eyMEGylAeAfnjTsBvgtWVnrC34Jt3C5Uu7UiA++D3YZN9k15JksEKdxNA
Q6iUlnVTsP/MSFL6NHKPIchpYUEPcE3zGFvYU6ygZ5J3ZCSR+SkZZ4wKk8i/Lm0z+CiHPlxXs3jw
hmjUa1FU/dNUTcY2o4VIb64mDqHHXt7OcdC2w5CDepEMcCVtYmg2MdrJA+YWrr6sHAIEkg8cePt2
59TSLTHNrZf4tLyujnXtm88tzam1XZifDMJlcPLB9BbNWUeooh79g8is6HPeht63xW+R4HBV3nS5
e9lz9J62Wa7GO7Kio0/SHsptwSa1qaAQ3PtNWH4STlzsLE5M4dqbC4k9iqeAqskV9GpMe1bWnOVX
HKzzJytt0X6bbbdDQjyu4K6M61JF83bgzH4z5HNxKZ2h3y52Fncs6/UnQIP4YXDyW+2ZY7pXeKjs
mgnPZzOtaMIkVfIAFJ4/6cJpo53qyvISDQ8EuKyZT7kRQKmxHRQ0DRF8pFp6CQYzdvXIplN/LGVR
x4R4tyWCE7P6ELvu8mqLJFj5rsSWxvX68Rq6mE2RO2AOgjPAdxR6CjtgVKbWnEY7ogetaxm1nrOJ
TVlO2IhTDmxa+HEXTVtUJHY0U76GlVYdvRhvuUhChA6rem+Ocb9RPOPHNFO1Zpca3GOJ/fywnQqv
v24I4ngIahJFoEZlO2kE7pp+2uzvJiyCr424ay5YsKeDWZbTURsiOM5dpklxVGrdWQ7wXj+lh7hs
3cchGeavppmnF3B35wuOx0G++XWF8lMx53iwKOFRshgFGJ29Yz43VWH7aV6HpzMmnsEFWZt6YTA5
mH9uYMxUFyGz/G/ECEvV84cOYqmKENjR4LdQx6HhCJaq6U/cciecYy/WMjhxpofW4yQsDHUH7+Mf
UanfruPiZ0G5bBEbaL6rvoa4cvs2iMKTky0VBtYxrNm4Lr/IcUEpf/0qf6Tavl3MM03B64ThGrxX
kgjmsBFRBJ7OLZ+qgpHWxi7xIQlpA7++1M+FrG8G5G1Ti5tYc7xXUzRR4NXGaLon253E9dkvU+og
X7cLN6b16Br84+sh2bCQUWCfR4v/HW9ZENNYlXkhTzOWbM9vW1AZAyTQZmipRt54mb++5o8U3+V1
8nC+6bOpOHy898X6hJtXF6gON3i3pLryjIVux4LKDlyOFnugg6bIhjoJsxdOQ8r28esb+HmQ+tKV
vGfMAS3rJ7J2VTqNOeaZe+rfmFUwbUYBZv7/uIqHxyXMEImp0rsJmENHKkMC4U9RFysoNFBFPH/S
fzM2/+pZOFCSwAY5l4n37ipuZ1sN/pXuKcDedeMmxHSfO6C/fpa/GJYgf7aJvz4f7ycWfrYYa9Zw
H05WCMEJhSVz7k1jdCaHdfU4zH9zpPt5/WJNZzXhsZzFbfndgxGYGk4a8iMYfuh+FL0fnWZzoBQh
5TrYwtBY+jdnLuCvH/XnyY4nJEImwdOCdb2fEYGlE3OupXXKemZ3SFbwRbewSecUtuevL/UXj8jg
QLNFDe7hbv1usfRyrbhUYZ1GFUMVwojjYqaP9II/H9yN5QQ3LqPm1xf9q+d7kzmbEtHeexHKYBL1
ArNcnHIXVmpZOPYxN/14z0GHj/rra71TbyxTHZkfrhKOc/bifi9SqGJf+SbryQk6ZYChsigkxvme
md9jXa2uqzRHlBBO8FXHhd+oqbXaa4jsY0j6dOtwuKjkax7BA8bkGoqIP5d5fOtnLrHAv77Vn0c4
8Z4Y8AesSC4NmncbSgl4CYc6ZIRDdLXXCZlUL+losF8OqcNQSwPK+l9fUvw8dwPEItSVNkS4RQ/1
42YZkblkweVmiPsGtS6+3pwfunHsUKjAR1/HdbiM9zQR102fNy/DIMnaJaYOyk9roWlpoh7NG1VS
su9wfIk3v77Bv3onrJRI4gEfEG2+2xzMBth88Jn1xexTdJsy/SQiwz61uV1iNNTQZ/31BX8am66N
KSvCT+oH+ivvL9gk7VL0T/NpcODytGYK0HXm/rCzcxr/5xejb7TEXQYsNe/Hpj9bpG9DyD6NEaQo
HL+DS5JVOOVIs+aU9OuL/fSpeTI4tjBl7GXHe695w9VbEK1iTic3lBwsscdjZDEROSX++kLvpJFM
OZflcikeUPeypb+vjHKwstFFx0YFoeL29o0TaEBRyp4IMZvbizod6IQ4EVKfWMd4vua1Z6tVsxBO
xwqaYZxk9AkMzWFpTUIKpLCFS3YWCAV0veDH5Uv3Q+OSine4FU23XVkFOIT++kl+HgzoO2mCw++Q
+CS8L4WScvJrr2jb05k4pkvERoWOyeIy0Zb8+lI/DXSsWhkDjgfWiJr0/ZrfRabVDWOsyKeB9YVz
Ds/fLBR0w4JZ6JTj3/YPl93rT3UyxBi0bBZT3/NBjn/6SuVc2ODU0jm5zeh8c11rOGHdEDyfGyKu
19LVaeZcPlXjaP3NJLPeDxF0IpZrk1rClWFLsgf8uO44OfnojiYQTBAFV6CESmEnQ0J15x5TF5xk
/c/EqWegQ1ULOnUmOZe2ipID5pbApGe9gdkXdBHnbOnXNMpbDhY9gD66CcaRKtyWBBx+/61Huh5J
oiQgy0NgRBl5Uhn2WHcybednWLpsdwabwX7qlKhPb1oEy23HW6lHWmNtmNH3A3ddIMdmwE3Xj7SV
XeGCAQnHFFlxp+k2XCu3M/ajk7i3FcgqSJGHIyxdbIJsTPi35iVtaaItW0/2wSp2VI2U0YHD4uX1
rDfV1MwcoOfkhMmsWDtDLnvAWxFjkLsi8BN53aoyB1292piYV8wZhEnzugdrFF+18pE0pEbKfAlQ
XdAMJWkhviValT97RjNXR7eiRbkPVBDGB3fIOBWVzczfnkmA5+JzyID5d0G+1DVNjRgvLpEpfKdb
nmAZLSLFwX1SBAocI98Y7+txLuJbG7itusyiZujuWrvlg+BnyeyuRFFn99Vssl+ovhPNDgofHNFF
wgmTucruvVogf21NnkLbqZy/4auEDkI1YmlF6ZzPPJoJP3hWFkrN7T5gUOYgqbBS5/J3zUXd05tL
oBmPO7cGxtrQB6FzBTRFI9wvJgjkgx3yGwGLQ/F51nZ5xG+qNx7GKuHSTYYV8iYwS4cWTpzbrXVT
6kF29yIx0N9lDJf4lvMqbmII6nS9PitrhkG1XrbpkfKsZxJlcU1ZaLcS++MaCdXAQQJvk8RDyhgK
PPxGA0yyG/FHu65UTk/LxxZr3o85Z1gwt4AuY9SbUEJEKdF+4GXKACtjWGzXRqLYG851AD17Rt8c
ubQaYGbTNxOuZ08XWMyNqPPmqRq/A8qFt/6MBOitBSfznpuxY9TcTmrJ1ySMcTlp+xas821auRZr
i7nMGQRYqf9aymRhgkt4yWIUcXKg20tv3gI3JLvblYyixnc5maHS4L1a7dIzt9O2/zwlONXuxgQE
4Q2aEf6irrKXQiJyqO38CgOCQqRLJ1bRnl/VC/d2FDBXl8ALxFXw49RtTO/KuyRuGUO/zEzGdFf5
GVzZIoiYpkVtgDTkk8OLdcLBsXfEl0TJXVs23Igw6Z3s6txq78sZzsUn5O22MdDokVl27+N6jOnY
mItHN01LGGsqTKZvqNsYsqnfWA7y8xrhRzxRG8PwEdor2I+BATDdi2lXMFYc0JyMGdzZ3gcK84ws
EJygIMWv8mQAw4ZsOxf05kl7SE+5aunWTwSgix0dtNmnJQH57VSYZ+NlOuSdT4Ns7okCeNvx/8M5
/RucVCzo4Z+2381r9/qvb2eE9fq1+Pbf/3XBP/RfsunPnNPff+jfOCnx4X8CSSkMfkdJ/eA3iTCY
9sj5OEHn4g/GafAbiuFAwIJna8OPAteDP3ybsEqlyF78Ilzk0v/IzfR91U5tagrXwvfCplgluvtd
VUzxFSt/DqPTIMIuXtu28O60iGacc8punzS4SA7m5xSyyrFuHALZ0soP7odq6A7KK4a93Yhmj2O1
af5NjQmn8F1V4Vs8nKS3YkGwRUrz7sw8tsQAZVSIR28g9u8GRqB5488uDlIpRxs0o331kAjHcLaJ
YkWM8Ehn7yW9ERvG8KuPbuWuFdJv1LaevML7ACckup7iRnfYQLXipYjjzlXbfKjnHRZ/BmoumZIl
itW43xoEfnaGf9AZ4mrHzBBII15BJzRiTOdl6imehuhQjUbBXAsQbtz7YQtP3PFaLK4hWNBfU73Y
EiqQbkcVPOIZBd2dnFXfvp2F2z8FVZ2v6H8Xw4qeMmT1XqfN52IqzHsntCtS/djX0zWESZgwfiZH
sRtCK85PnV3l2Y7o6Bw1d287d2XD5qIjDRckfB7DyNhTuqhTE6Vi3/d2+yUxY3UTFBI+Z9pekBx3
qkmIffRwkSHtbZz2Xtt3xFHGA8y8wdgkgDTYPuFMf9049nRZRiQLJSTLYngvqnvDCV5MVmlAB/KA
qZry+KNFqJ+3Mnuprwyc7O/mPgvglcZTC6Q6jJeRNz+YfZTfqAn+6giDnzxE7Ypo52eG85mVLV3R
jobFTPefWsQ2E/fe9LP6fuCIvy5CIqDkADNzwAtTZFek9bT2UxqhQydpJ7mZ52aLfaa1a4JcP06s
iKsyZn/m9CDh/Rflrva6OFsLaNPrlmPUFm6kOIx2WG892LYrG6HadjTBM5y5AyxpIveOt95cUE2q
XUrIygmOZXAKhOvDnjbzaBOWZv4R1l2LAK5Kvzca4vk66436oWmT+douLVCywfS+Rl7s7pywa7Yk
OhD8bA3dOp8GAKGkwsGH9+7s5kaPzarO6vg1Y9ivbEuNaxJ3sPLFS+re9Mh2CyAMX0jd9tscB5C9
08RoHSF5AnUSVz2XnX0fd4Uis2K2VhEEH4a0KrxwpzE+nNaQlN2Pkl+yJioahy4/6JHBafFqRSli
+HSavlngTlfoap2NT/LUwYE6odcdvqgvLXJ/BUE3FkegBLTnlbaneD13MLD3+HqR3+DJtkV71hSe
RWIDPXOgrmDa5FEezXS3QuNRUqN59Ozz7hiMSlxAtKjkduQ9HgdiINtVwbn/EgeA8mIEOLq0kYRi
8zEsDrukW+WQylOo16HzpdCOJnyTptPjDB8OWAZl5qqeG4pp8kp2dkVaj4WwhtmF3YCzinAxG/aI
92zirbtA33noNuQeXbR7zDr1FMR6/uwN87gFPXWOgZsSKO8SurypBXHZrIT6ZYixAF7VvkvEfBHN
5cKWUtkS5VPqCUaT8j6VoRf0G9mQyoSNsPCHazIwYJYIPCRX5KfDxxVDFxeXiOHxLwimYThWkVvJ
DfaXOCinGOreSPA9hXw7sm6It9B3rgKtJ1UT/Ra2y21+4zAxOKz6cYpD8lBBBsW+bNjUOKleuywH
F0VMhiUyz7x4RsLf3Ce93VXbEYHpVdiQ/GA0/8PemS23rWRZ9IvQASTmV5IgQWq2ZMnWC0KyZcxz
Yvz6XlBXV1gUQ4xbz/VQN6IqbjkNEEjkOWfvtSnZcVCSBxEvyRA2YLZso3WxsVGX5AiLZ5RUX408
iZ5h5hVS5Og2FkP6Hctb8eAsCRTh1OWbvBpggb4HVJhtmv5KQolFgVEJBYuiN9YtPXcAEpUOC5aM
AvIuhL5EX9jvMRhh1VjNlqmv+9bMen2gazj8JDabTJQlRUOT5GkAZN3gn1UIHV3SNtT34A25ZHBE
8Ke29tA396aOxn4VaFZ0R/daPJV9Hn+zpzHXfMQg4S0tPTK2+kmmNJRx2j+Xk1rkK0MjSW3XLNkg
wZISQoFUawxUx/6Kk1QPaUEbzAiJngNQPoXviQ59yRwx+5blsDJiNhKkBLhKNGxrm3xmi5kg3FtX
nS8N9uZtMunJvknF6NUDWSfsDeM+WfJPMGVq/IOHjn2elzxFfrCaVMYXq26G1UPGMyEqiUmeivYe
rWJPYolZafGHuO/hK2iaugvpWNb7z+YrToTCuUESTMbMWvSa7THW+ZXoGBwGx4CtUI/6I8qJap9U
tn3r6pHGqvkvUS9hMK6Z6jfIsi+TgK1/NrPLcHIC8mHKvWsj5rNMZVyHWq5saIFWXlUZyTUmMntn
gCPk/zCPFDu86Gihl5gasyOwRohObPJoAgHQ8I/YUZXnZIm5aYQ+XhhmjW29BWL0EwpE/6tfonFS
HddIk5fjbjmX4FB/H8LXJjrc92QdDvOk7ExL4E5LRn204nOKTspZQntMHbf7Wmtn2/A6CBLGhjAP
V99OGCBIgSXg49FKpCy8eon/Md6TgKb3VKDQWBKCEsa2M2CEJTnIiewBQqezxHq8ZwsRYdtg7I/S
R4Ru/FxkbhtJf6OoRvptUq17TBzmLnlPLNKNhnCToo30K6pdMo00Dl43QYrAjCNW+Twt4UeyIwaJ
XCB+L3LaSUdS9KR41s06588kPElgD/TAd5PRYUeEKzl1q122bGe8RS3hS+Hck8PEuYtMpswh5heR
vEhfmJ/+bBXN2lBy4RRANVYd8JMo9oq3TgHgTaZRtO5wZhaeQsLYtyFSJZ3rZLozLC0miKVX9Y3V
alA+cN8p+Kvbb6E78LEmffUqMkvYYSWv2GUsGBRtCHYgzgHRDJYYMzdIXSHzcROAp/6F7Lx+ddy6
gjY7K+7BRkm9HDBN0Xg5hl8POJckhm5o5r2TWHYJjqPDBJSrswH3JOsEjqbZrtGtJP1ljfqLlGf2
kWTdFIZlrjmeNE8isSflrteN3Nh1fPTB45XzsFJ5BgLPLTPrgJiEL4ERx0XtpzX3czMOQUSysm1w
/ioz3bkfRw3BQW0rdH3w0YILStloI3dJPS+tLLkiny5FShDYORE5zvjYCLf+pumD/VwHTrIrLTJ1
lnRM5RcMGOVAaVoXO3AOYPeVhZiyirSZTwaMj24X55V2K+Iwyg9OFbvU6nb1xy1UI17jG1T3FXNu
dV2UvbJq9c5SNyN5Q7q8sJxJgJd/r1X+W9adK+uYSn9Z1l29xMXbh5ru//4f/6rpLDCRyxiP0S1Y
lA8+QlsjxY1BCPUZc+hFxPr/NkLD/h9m0rZwbJdihjk/ncr/Z0XqS/4rMF9bZXRN5Wf/E+krS3xo
xzo2o22VP4c5DEXdsZhzcpHF0qec/TLw6C6b0xWI6L+K3NvPEtXPS4AMZkCrAYulBn0vK/9SRgRD
RxKicGe/D/RVOjsroqORtXBL/y05/g9WWf4Wf60C834coWbMvl08t8pzOb5J81yZ+elefbyQpZn+
1xJ2XBq8ayzRzUjt76aYTvXr11dx1I9f0v+YjDHRhl6nOeJ4MGZx6iJc2oF6gqtiRSJouI6r8i7P
650ZGfmZhvinX+Z9NSCmKmMgi/bd0QWN5ij5LjOjL0PEUi3/iHOwB+SPnhPlnFpKE5hWoR5SlR0X
6GprVaMYNS4scsKHMTFquDu9dqVKEhq+vof28c/EVSHBQWMBm5kVj34mLTVV+l4sVTTE06YZADCr
SaZ1MM7jqg7HfAehffqnzwaLCsRuuu7AVCcT8eOtNGM0xQqBaD40L3NFtDwpRY1jrAKFf3x9fZ96
HctSjAlBFi9zLuuo15HqACaqSmn8fIoQyGXwLXyldpJ9KqhkCU6qb7FQjQCU5uiqywj4+Hr9o4ne
+zMKboNti4wctqajp2YKjQqdTNj6Tq6MngUoYGXVw/evFzkeEy0vAvNCIJnqskXa4uP9HLVSTtIV
jS9lre3sIRogVdl6cJ0JdfZnBufERxCaWzbUsF8vfer5YRRuCnQy7xjdj0vjVBi1UOiNz/lz8uAF
0GhNlAn/sKKS1aaHBKtNkQy8r5dlIPr57afKQ/lBa83Gx3U8im+ZByWwQBvfVIrmVwlGdPBidRCe
PbDrmAGhllC4wdVlXXDA19ttx1bnJ0hGbQdbb9jFVdM8ChTC8DrmNtk00r4TZt6j0OzH4dJtsA2V
QaNudDkShtwH2LBU0UUrO++Shwn5NycoO7lord5eO2X1THAbcYBOS5yl1vtd0izFOug9hdbGJlXs
6AoOyITkvyvxFGEBtJou2UdqZl+o9N9+KjkxKFg2p+hKrRXrgvqe3oIKjShSTNLjwrzjQR1ltqEJ
1F12bj5/jyX/NaqwkiV2/csSuX0I4hyUk1L3mxZd584Q7aWRCvl9LCbjboD6jofdzrwSPsjeyPFz
Zp1mbFsATyt7rLQrR8VZl+jGiLZx7L/ptuQPSR15ac8JDlIcbRMVX6tdBSSZ+mXCthuWXXQXJP3w
y5Vk9fWz3rVrKxh5DHp6ZWj83wasCz+iiqC1TQ4b7Ls1MHEkOk97axomL/j3DPlHwZeIzDfJ5KOL
+j/ajpY07npaPWtUtc+At0h+waAqV7lc0jsn06JQDuQlmUU6mliDXNOAWAXoiS2Jd+Q52pzJE+Ua
W+mbbDmnD5Psfifz+N2YxZtLTNPPUZAtYnRK/IP5VLJXJ1Jz4LfxIkEveptl2TAJHOrZT5CDrdBK
8iMAhpSPncqfl4/8PZLRTg+5a7aPYGrtNXgV+yKnLXlV5UOAg6GhXcgZnTwSkezDQu83blM1W/oM
6o4GDypjPjjh2g2mwHNGRpBrDLPhAfyY8GlpsoCYrXVdJ9j/cif1EzPp79Ny7u4l2RrrucGKtkoZ
SN1l4A1XKtL5A0oScu2UsvNAaxk3jsvthBupBZu8qcRGcGy6loObJPtEWDnDGLjtqxEHQLDMW7Rv
NIjCuwni3j3q9nTEsxubN8BVkl0UhupOM5rgNYBf6/KUKMG1GNwyWKeRbXdL9d+Rih4YN1PUiM0U
TlAM59A4TFVTw16ztW9aPvd73PXWbaDoyo5iVb+1tTy8HAzzMcjr+U7STaAkM3sVWXxtiX3dSEr4
biQchWCC4FUSkUhncwC/owNl2JVT5Pwx4JT9UcJArlsU1hcNgsbXyFU1L+xqg8hSx1E9pYXrE4Dz
534EhNFsYBn/zuqWO9n2Y+bBrlR9rdUmP0cDdgn6xHhQsXR7weRoPYuZ2s6xi2Zn0ir74Yigpzll
RndqXqt4JonV2eAIjeHaoVle5ai6fmkpSVA13r3rTh+Hl0bXi6uiC90b2lf6Q+bKiQDw1lG8sdbM
i3exBJ7QGZhS49wyfiteoI0Od80EzmtMInk9trV1qY32dNXWrnmRVnoBYcrs1+SKWPcVjRVchtNM
Lqji9GsG/CzA5I3NKxOBvGtA1RQrMkRTG0uRZW5gQZR0wQf1D7NxpthRVkb3NZELv4FatL7Wswml
Sg6eKqA4HbGbbStwgDtZwkbbtFXc4kiJaA+oRn2RDRZdnKiso4cZoWa4Cntqf16ayNokLokRwi7m
A3/b8EFo5XwAq1BfMCGAk2QGcb1OEHwSx5gn7t6hWNhSRVsb2wjdvdm65RbzU+lV6tKNj9IYN62l
80w4ejJvKRCkp05Ns4c5lnEZtTNtKUoVjzkl00OhZu66DyT3YSw54AiKztuCQ8DrUEvJNtand1lp
OLsoUac1LNb6OY7d2SuBqvqkJvZvREzMWxE65oUA37UbmE87oP+SCmxlqb3StIVrkAEK+dPCQXuc
8IjeMI5KD+//uigsk1g0yKrTGGI3mE17uBnmZLxpnUl6PQqByeMZfk8axp+uhXmDapkl47lKOTq0
Ro8fVrjtSs+k+ppiOHiyR9luepMAr5XR6IoX0129KirqedGG4tuiS/mZGFH52Md5vpNuV+xMcw68
eNZUvtVLvFINR1Qdu/Rgld0LMzK5R4bmpDQGE3PjBKm6fN5TNs+mv3alyu0rIuKRGs2Nr6yUrh7o
phDXsFaOmHxcelJOpaHvIFAUW4bT5wcsaWOKqcWS+KWTefYxnPEXVkdr9t04te41Otg/ZNvPd7FB
ysiqgn+wNiun4DxjMYWeq45lydJBqj477UqD+LCmH6A8VLEFGxQ5tCSVlsCREp3SvkPh9NvV+LdT
CBr3OTPxi0Ar3V1ote2Gbjwtrprz5o5CtNnj0UsfB5fWf1HU1r1bL35b8nPXDm2tXZi68bpZPnYt
2Ir/434Plq14uta769Jt6UMEzNP1ZjIgaMJJhDw/o+Ey0sPME722VUN6uaEWbwnf8L1o1fahTa35
kQcpvLUiJbyRSefeF0nery2jddHOVsXOaXTrh6QWlbAERHCZDQVH8TYv3J0IlPEWy858Nytq/9YX
gfI9t6uAsYFMtI2jWP/6nVI5Bn8mlAPeaOjDVn1HtseZ8hBir7qlNzodEmBQnmKO8c+ia507F9jz
VmHg9KR3k/HUN4rxlJjVdM2XytpGdaRspjhWNkplRBh2gvIKcnLzDaJi4Qlsbx7x3+P1+12XJmP1
snWcG7Ek3WKY58PXJhfgDzSUUySRYJwaFieNugUwoV7YdVR45ATIfT5J3avIYl6PuNh5iW0keJ2Y
shtoxOEezjI+lfdnGdEhZDvFgHJGq+FihiV3jYkcl09mhwSV0upemWaR3qh1ku+tabR+uAETCxmo
hkkiLR9DGmP8/HM9X6VtOV9pNG4ZPWC0IrcljdgCNe1bpMSvTTqN12wK015UQXFjN/MMDgafErnt
1fSo0sAzVwRkJd5M4tTW1lBLZCT3Ec9tJzck0NL200V6MLrcvEgAyd1q9qB4QVONNzVqLqB0EcNh
GyqizigvR70iNMQPK0eLSGugh7jH7E8bDr9ddTXIrIBVbRflQ1eOxbZjw+EMVNhMIg0hb2pamesG
xu06hOkOjQPZC07yYasLDdxOnRbKQ6uqiGZoyXNiNgi+zIAKrNWw5dWUZpUwIovJeXN6VEX0G4ud
1IrscUEYe3k1c6x2Y+1VDY3pysiZlRrDoL6SJCw6UghLCNqQAQ5Ry4sZMz3APIDrsElt+2ANxuQ5
cmrIERQ9lPGpr2qmOBbtQdmX7HS4lOY7xEi88/gzSwpS/ssDDJNQYhCO+stOYqUN+FdvE52WLvHm
4FdakrV3McjuPb1ZazfUsO64opvFwrOeXTO61uZYtOsuzu/FmKKAcpLCm6t3kgHaKxB6k3ie0BTi
cizqe+LLJgYUsXIRBv1tx7h7RRxuRPtXeXNqqOGaUfzQO6LeswQGCpeRboDpsXPiLWq2jtMMHrgS
scMD1kM3DuQF0c1NR5ilanucEHHVzSbYxWi6FSjn12lr5b/sQvnVzubNKFp9K8YhX85t9Z7WuVjZ
c/wwlNG8bhwl9NmtdtyIfq2pRoHRifIO5MwPBRkew0W9ZNLW1sC3hyUvVW+AlzvQkAqzMrzMrrhe
xjQGpyrUxezYxdVYBVcVONA1SI7Cs+KsBH6t9x1RREn0HHa96aekNmGt7MYeJfJc3leGJSCzhSqs
5VxEF1FiVbdFkVY/UPEVK77qOY3zqvtV9bZ1b2sNjeLMqdJ916PgRVaV7sgB73wlYhK/KcPauDWc
Zr7FlNfcV2T+eX3e2dOaqWm+sWbL8ka7IcG1iaJdRlr9tq9TunFqFh8Yy4Pd02T96jZzfqGBevKZ
oZsuSqky1AcCiroxTS/a4pXjvfZzpBy/0txOqutGmOVdXydEUYmyG4AfQv0Au+7uEhRmW+l0vIp5
rsKJYSZFC7/hV9wwmng1IqMeYDrN042hyeSuMGW57eKp+Wk1nK8YokfienJcCX4wsg+AuIsn8ibU
AId7pz+qyxfSQocHYt6J/LEouosodoyrCBj7E4Nn08dtPxyIvO0vsKinv6SRBISRQs4lREoGt71d
5b/zlgDV3tKQQ7dJydQJ0cABc6Bx2UgqcHzLNMunvjCodVvSnCZFGt/1ws69NACgvMS3R9elMr2l
ve38EMgiPdWdnXUYZvPWbLNknfTwYDjjzXwKozzqVh2x3RtratjJkizxk6rPVkB+YaRkfG0PE1XF
poz0eTVgLQ7basYllD8oWfxjLACFhezyK3q2RE64MIxTrXpq9ETfpFZG90I17JppLyfjXela+QMI
l/JSzpnYg3zhKOWF+RSEDK/SyukUX28HJfcplyzlbZJZx0CDHEuts5xHqdQFvNrO2VHFDCuhxMH3
TFckSk87A9bRJC+jppffkzqtf1RdNdq7SmHIs4oDDNQM4JcMbXLvIYAosriDgjegDy3j8RlQHJOi
rhmSQy+6NxArA75cR7uEM19c6JxsfxUVAPcJ/+HGUtLruewZ3be6ku1kCmZ04Ke6BHYOjYlpjrym
ERheQ3WyVomRJa3nOGZ91cCnWWONF994/38TU8Ickm+au+oYS630QM4Hkr+72xQ5ElCRLHocm1bn
wwXrRSvy4K7FAf5KG+zZSNrh2ZjG+7kT2DFti4ESzGptl9QzO3ul6Gtetewe3zJKniiqm2+mCkoO
23u7taJORczTdyuTJ56haGnsosiyL0VqTWwuTUfUFyx5P0lwpCIwQrfOTsjsUEGJEo72A6UO35PQ
zZ+DnGz5KnSfjNEYLtRKEzv+FEGeey3vjdj4bWcOeBuaWq/hHPTbPmWwzX2bkivXnYcdvm/uGAmc
OBuSsaG/wk0h6uDJ7iPjIe5LZCVdzAvbuMwxC85UEGTcramYO6lH4pYa5HEx5d6M1Wwd6tqCATVI
y6uQs76UCwY1awaHNqGeXFt4jpnAKVQxouF0i3gKPmg/FCgX25ATrkK/OZd76Uz5XRAr1q1dqyFy
IFShWtTrf7QQOl+ZDJXXdHF4wEjd3RTmGF1mZmreG1XiFkSpzKRB/0xg6QQREuuc7dbrK535vBxV
Mk06i4xbwtBKmZa7iYHuvWTHXXUjE2MXJteuyboHXB6oce3FFRiW004OzXPkFrafhBFfLA6CBzZS
xc91t7/kKAe6zCDkoA3rlPNvWfzpZNLHm0xWr3qdVD/xEnY1JUAdpa8laAP1Qqu64AIMNcg2JYYK
G7bioRPKOK0VLFLuNZLUUKzLosbnqzdlZW7rgjYy8KnGvS6mJnsocoTSuTm5uyhuSQmkhfVgifYN
MwsMHuLg1k2tNwd1Hn6BZ8gPZiZyiEwmRVLdT2SLpskeny/Uo1bzFaQxB95/84edW495yNnYCAik
5lSYbWh3/GpF3G0QeQVrBsG3YhoGvxutF5sSBGD7JTyyO85QFp0z2kRK52i/DDcbLozS1D2r1mmk
pGQ7h4Hm964S/IlI1bpFUC7u2tH9gyBfeQx59b4LYk6ijdmWNeiMZgw2rUM2sVKY5U5FyYoWqS42
lgz7lQO75Ex00ecuKK1fnEXIKWmFWhqjr7/HLHrr4u+O6b/adZIdtLz/TqrH7IcW1a1r08j/uu96
ajKhM2xRDTiejnZsC0NermpkLrIcMNuHWtQ7KgA0GKibz4xbtEUg+bf34b2pjW/X4Bh+wnjjzvO/
mtr4DYZfWB1ocU1B93vE+rRS2ky7oq+k7ixnVl+iYKkoB/pxX1/uqe49jhzMd4YO3/zT9MDWJfJ7
FZayHRp3AC5o6YX0Sb9e5dRN5SdcetgYR/D9fPwNjTEwOiNnBvM+DiEjhn6kO40rDazgmd/v1AVB
EKIQ0mnNucsQ9e/HJQUAg7wROPQw1Mi1hvLZcsozIXfn1ji6HFwQwuJtbXxNyKvZanaGk999fcdO
PhzvhjPcuYaJ6/rjdbhu4gyNkI1f8QG7QpYvDoLgU+gmQ/wDqCePZNGrN2FDrxVpg7p3Av3caOfz
q6erqkkflfcPtuzxAMKACq0vUV1+SMAAsQHSWhMpXF9mCvwzKHvF5uuL/nxfWc8mPo/NFCv28btX
c7ZywFQSVkCM1oVhTXdoBu0z+8nnZ1Fnhm6CyiW/Rne0o1ESIRRyhnVT+7EM0XNWJUSUqr+0wcSc
eRRPrMRFOMRToWdZGMBHP2Ebx/M0OaXP1gY0T2kv9Ml+qJrk8evbduJngr+EGpvfip3LWCZYfw2i
rSpPdRfnkT/HqtdkL4oD1yEt1nEdHL5e6bOw2kHF/ddSR8NGClUryBHc+F3v0r0rjHCVD7aUqxEC
nFf3xfx9Ilt9B/YrAIBkkLemNnXw0+Lc6slZSC9hBLQTLbV03uh0wXJjTg+mk1SIk0dlHw7RfBWQ
h/LNqAucD3h8PA5X0suETOTB7rPxeig72lhTB3mAWhsdoxXPZy6UhM3jvZlRJs19ZPQEcZrHiYRE
xSu6i9XOn9tIPrl5ATqzd74BuIhf8rkj1jqDU9Jkwc8GktLWTicKp9HaW1buxSbjGW1hI4ruex5w
OpIWsMgy/1YN0FcDqsu8TGuvTfF21LFuA3dNdGS3Q4ngqRf2AZxGtx6N0oCzjitLSkesWSfZUMfb
lylUXX5gtEkj+/XGDYf1bIfjxuDr43K3xAL3nFv11UardeajdeJZA/0OvmvhIPPdP3rWgryvGcNO
3JdEaS97UNl7fvXRD5MG1esY6IP/9SP3efKLUZQQVIBwyF6g/398uOvSAOdU5aXvOhIxbFzmXo1m
6tLSK7kLnFBeRvRfHhA1h2e4BSdeX8ba6mKicHAKHr++TTj1StRZhU+tO/3orUF7rmn6PgCmS97+
8UUy5WU3ouDhP8czdIYjHDqnrvDzvqE1iqECvhjerA25G80elnzsrFumbEQpCzp3Xy9+4jo5V+lk
r+JPR0pw9KUButZRexYFuUOEisCjeQjHkHlvArXun64EKo73yUZhZANpONoQKQTbsMQw6AvHeZqm
YtgIh5SVJtP1f/yYctxAMIUwChmGehwpXmEu6MK+yxgudsMG54ePSPJmGEwLl571+59fFkbjBf2u
nSAJhHFWQferuSwz132lmoqSQQKNXfzhaXvmHn5+AQ0VpSMfLgDyLHn8PjAghqeWc2WK8RDpylM9
O7+TUX8IB+vMGWR5lz+eT1kKfY7FpbHnf/Jq46CeCoVprF5lnk7DxC3NbGVnPebWoj/Qqzh3Gj29
IpwLZGzLS3f8eTEq2ymXFWutPxC78YKH9UFv0pr4JuDZUSfOkCc+P/uGiqQEWzWnDlY8eiLNlrpD
BnbqK113mLLeN4z0JrbUM8t8Ptgsy6CRAW7A6eNYWUUozBjH/NF+rwjlQbHR81YjX8Svn8PPWyWr
4F/FmSRUvPxHL/KISbsgvin1G52ylnJvnSXdH7uw7pJaMlVz5rVOXtrXi34yUWPmf984FtwR7Jzj
Vy3IZ+mif0l910QDPWTEuqyLKp2vRpdRHXDjdkUGaUaabGkQnIhjhhQ8vBw7OdbhPmOYtB04Fs2T
WX9zOxi9YVVxOFiOBXUpzAu0MdZ3VwyWH8rWPPO3P/nDOO5S/MAWRcv/8evCXDIiH4BXlxZV4SWT
mxyUkWbH1/fo5FOGrtJ2NRx7n46cuVHzGQnLzC+kjXC47H01JSPFludOLSdeWDA7nG3Zhyxq2I9X
Y9rwKKq6YCMaK51pdhBhYlLH7ddXc2oHgmqFHhH7PKqvT/dMFWPYKSkKgharmc1najQ7sIpt9goj
5J+foqkZkYnyycBQqR5XqIQjYW6NeEWnNPi93LsGpGTeBE9fX9Wpl2fxC9pIcikMjh/jsU0LbS55
eaAFO7fppNFnD8zfdFzLbROazq8hq5I9KpZzrI9Tex5CUsC1fHw/Fz30T1Topn1KrKG4kYXystDb
quSRLKZ7tuvd15d56oGn7BE87JT9n9SCGddoEwCe+lVYpbvcMvFsikTZfL3KMe8GUSA1ODdT8DnS
kTkf7atuJ8bOpO/mO92gPsbQ1LcKiuNVkOh9RoPeHr4nMLfWXSn7m3oq0mszs/Vd5CDsmqfKYrqU
VButDvCrDQ5D2a5LzlW32sk7b+O8480E/3B88GmCVjXhKfC1GQ16hbJ+0aRbQix32n1sO0/dSHfC
riI6mYUeP6ZD3+4Dt3zGhE1GUyUPFXC/PV0kd2VNAPbdiOv4+kaeeNcYbHEEhWEHkef4g5jB+Uvi
keP2UMy/q1mTW7VCUQWN3C2nl6/XOnE7tHehIeBglLLH1bfQsD4a4NX8OdB+qzQcNrmpvrRTVvi2
WyQemmF55oRx4qXTNNr2nGj4Yn06YvdNNo1NWHJ5ifkDqLSyFtj+aWYShaSLqf5eN8MCUC96/59f
qwaTeulIcUA83ikB+KI5ctrSp1a7rq2hQZ6b3SFLDlcgvR5JazqHgDr1S3Jkow2AN9llK/u4N/Ou
DLI16tJXgO2ssagxmix0eTeQzefnhKWcOSee+OZwgZyhiANCuPr+hv7VFMiDxojikls7QvDE9NlA
fwflstGRxf0nS7nQmxwwO4jujj4IlQ3dMC8o0TS3LG7xIgJbtaV1EcM9ObN9nXpGyd7m8QTus/SD
P97FHl1MMdMZ8Nu8e+ii8s006wdid5pVHNZ3TlfIf1wcsYFhuhDwd9CRH7+A2kjDXbRz4c9iRuhj
D9+artlU9AHOLHRiY9YMmg26TucZG8fye/71e1XzgAwkoATMQvMJENPOmeuHrx/6d57N0YH+wxrH
u7KSpEC5WQNVr7bC2FQdWrM1v4mOgO0gIykEFCxcsqGpNkuM5/dyaLB/mQxsOpxNNP86JFGEEKxL
Y0QGAzzOG5wp82NdNofZMKI74RKbU0x98DOo1GKXtyg0qG6nNVq4YB+ZDmptdYRRojUI9jB7ad9m
N0dxUWiEe5R5S1JMXwcuBdQY3uBn4nRYxjFJnORBRKMd7bSmnfaZiU6r16P8qlea3ics/YG8vnbN
HSaNiF5Rs4pQC/kolADWDHPlBV1kohhMFyStvjCVk2779e099WzyFbc1nhOdOcXRswm8uZaTxbOJ
VvClHuULaaI3hq4Qw1V6AdEQ/8Frx5mbwx7te5TxR+uZ0VTUejgVPo7Wped0DQ5oP8jizOH1s7/A
oFeKwp+zCW26YzifMaYR+Vhu4aMkvauquEE45JC+8p1J1BVT6XVniuewKc6UTPrpdenSckcpro8P
ZG6V1ziETXoiJC/9iEYVl1BjKHeo3dXMY3BOjVObeeDJtK83GcwGJlwFG3kt+j2J5YD3B2Wvq52y
1aRRrAPUYTxw1Q7jB2MsN3k1NXy6A6GP69Sew40rYfXEmMk35BTfi9QgVGY261UqE4PY8bkiw52/
D+Tl6g3ht3abvHs8x6He4ujifyeDch21MvFsUngea90891Oc2tMtsHBkvSEd17Xllv21R8Rqa+ZF
2he+Kl8mpkuraVB3qSb7M0/Wqb3or3WOD0Z91eewJYfCd8zFUEi/gbz7yPv6dTn1QbTIWGCuwLwN
zN3Hi1FrUZW10RQ+QydnPZnFimL8qUwxpkftdMZ0dnIx+pXULC7utuMiwmrYjIqMd0WJSG8A/7br
jWqLDAxBpYzP3L5TG4FF25+vBZa9T4ffjJh4K0FK4TdJcyda21prwfRUZs2bjDFvRdaZO6mdei5s
qiQKWLxUZL99vJVzW2XcX85pyUjaVTwL7eDMzbAX9OI3pU4StlHVS/yMq3+LVchbU4iymSC54spZ
Unjc0pi+2/gC0GgHoTGfuR8n/3psiLSR6N/i4/n414Oj1ippxDFnqKs33Q0fI9HfZzrD5K+fqJPr
2Atqk/J38c18XKftFTI4EOX4VKIV3Rz5UkwKTLOuOfMhPXVspTmFew14L+CFo/dQB0RskrKRkx3o
w+NE5zYUdw18yMTRbrKyfsgz90yj4tQD/NeSxwfWZDYyhDpqvmQ/7aAZvLmEB4WBdWjK/kzNoZ96
fqlIGZJxfKQWPmojyMXzP492zjYjpmcZVX+ItrDWPXHZa9q34VqplBhWjlp4cb0IjhVtkWc1KH/c
vn0yaKo8BbXT+p1Atoy1BbNBJJt78hvKjVNkxBcErbMd7cF5dEx2TZKmWlQTSjtChFlam6X4ow4C
TTuc57FSn5Oyu8aTWHmY4N9ipx9W+aTHXpdP4r5CecnHXphnnqZTd8FdnLq0OHhujwewWVa1LQlJ
nPyqGYD5rK2kajyRnXVBz/RJxmcJxqd+4sWegWPQptl6fNurRAuh7/GaxLWrII7pmmo7U/1u9DCA
29YuwtSvX5gTl8h3fXEbw9nm5H5Uk7jW5ORS6JmfElPsRc1kLbS32Z+Ssn1KYBICaopev17zXa9x
dAhFe0OKj+AVpbQ9erpCZSJ0lEgE38pndx0NnXVvRFq/Lsjlu4jKLHusiPoiPhvJ1rtO2Ylk9ph3
s/QkWqKdMgxIZs/8pT6P+yBwc7qh+KFm+lT7Es48V0HPG93OAXo20kK2qNKI2wgWWiHk4hVPCvIp
M/NcwEHriZkM8muSO7/+i+gn9rDFF44cA/grg7ajPUxFGmHlMs7xLSc6o5FF3Bzr2XyHwLIwL/i5
7L1MkCTis2gh09BE1pScOSos6v520AcVCn+g/ogIvgCWN6s/OBYXu2jgkcI2kW5R9pg7dLlvE4pM
tuzeM6wk8hAMGptGKSRIv9r2iABYAJPkzKT6faoX4w2vLU4UUszmp8jp3EOm2j/VbkrPFOanrp8J
GB50e5nQHzeOaLclxDbqXH+WjvcR/lx/tMb4KdaUaPv1vT61FOpLtAa40flsHH01GTrVNbCb3HdL
PdpUtbNYesYqPbhRFj59vdb773b81C/dX3Kl6DLi5/74bSoUK+sIu6c46M3AWUFnIsFvng1tFxAK
tynsTLvQSjW4laMYroVQwjshFXdt6Fm1qwq12b//hf6LbziDbxC0sNgG/40S+ETlu3r5X/bOrDlu
I8vCvwgK7MvExDwUamcVi7tIvSAoSkrsSOxI/Pr5QNsTMjVjRc9zR3RH225TxcKSefPec77TqPy1
/PYzweHPH/qT4OA5nxDnLoNheLWMpHUW8j+5fF7wieoD3RGjuaXPzyP3VxB08IkJL092AGBk6XZZ
/0NwICOaWoLjFc1W22M3tP4VgsPHXSRYWuSLSZqGDMeEj091qePKLeIM8IEwnHkFmbI8Mc9VjwVs
ItTOzu8wCMtr8vOTzQd6Cwl/QfvT/PlYWncMfACJuWpPek9zq2sDBp8FxP3TTbj548/7Odjs42mQ
T0GVu5j44XD/ChvsmNQN4C+nveqwPIzmVN9mFfm2iWfLja6N+cpoaXHZdardtaM3Pf7zxzvBxx1i
KSp5cZFC+Sb3+OMxuO+VDzfP6/aQYQgMmtCpbHMvxg+JUOI0mUCTJ6S60INhvRgrGVlRu2okwWZh
y5T1vkKSRKp85GNohN4sAUThS/DnMdsSwMS/iwUEjqmVayQWTRKHIHbCVpFC6Svot0gE7sCiZusZ
T8I+tjFCRp5bH+ng189YCtUuGooFZSoMRcejZm1b0XCd93o9QRm1THndjAyd8Dtjq7IwjI9uK19J
/kp0xN6D+hEDOd8OZT485T1ctjadylNEbi2+sMQ3wrEyy1Mc6bS/EyVfDKHzg+OUBKe2nswNFXl0
FwxkUa+HVurVgUsFqVwYOj8bsfhaO1MMfE3dazGw41F5gHHvr72pii8O8mzaMgEiM6wkiOy9pLmt
8gGS0LAotdPO81etizKIuKOERkQxEjqUNEQTmPVtW3TREUnOtHNrIz/UyIw2JLYNT6leDE91Orv3
3B1zgyLG3JSmk4e9O9VvCkpsKDwqj2QsFXHoUfUC/Y47U7Pe7t3FY++NDRagrgxOLqTAfV3H6seI
SeZRb/gRpTftZxeV9imahH3AuGM8kHRG6dSN5WmqquBUFFRY6yCt7XRlF0j4yQCfycSjuty0kiga
ItDMTVWb2Z10YyTvhkCta1bNmx3xtyKDSE+qLb3HvTYxSS3tvoasxetMjKfauUmfHyqfm6s86L9T
T47AurUgXQCAavODxJlG58LJMJdq004zouxOIOHbun5cX9sIoGAhieF7psMYKnHb0TvTdRYNoyIR
qh6eGHfM56Ae+KOsWO0kMMWVMfGNg1GT11G2vOxa7Vw0oQ9IOvkurp0Gqy4gx2HAU1CshrgcvhtZ
onYqMe2LsLkTEeKxlV1KtS40+EtrHOdc10zIVy8PnBDKUpquu0lLSvwVUXTn6lH9xvB5PpdjrB5N
NtJdiQcJRGGdbSFmdt/01DUeYMfBA14MHYbGtW0F9zHtl0u9PKJ5OQ3fFQTI7YzZgfzFmTthuwjJ
bYPnH3ITCG7hRce8zV5Gre2PcdIUF+H/0PuAfJZEK9yYA3JhHuLW+YLjuF7Ylf2TMHk28V1kyc7E
GrW2yaQlTG743tmevJapw0NJiFI4xdwoXJXdNqpteZGFZV+CbnQuPeFKD2XSypfecasvOFd4Wj08
so0ZVV8s5ORXKabs+8kHBY8708e2WcLgFj42QMpDpSHLDrL1+5fzY14CUu61u0nJsiM6I53PdGnb
z5Jj+J2qOsNf0YzNQ4Nk5uOUp0Xojnqy7yoTDjhp6ckOq2TzRlOBJGuCaHsPe4FfkzWL2w/bMKGM
rmnV152Lu9P8TPPVyNyXoSrH7i1pevslwZaRiT2pr6WNzHLWyg1Cu7E/q3okWWIUVm/fYczEomdP
6tHAGRySY0QEhuFMyAbr2d3yHDr6qqMpT+Dr1LE09eV1XwUEsfGEHW0tu+n0VrutyNDQnP7aLmSx
xUDi3M4NvSTHm6zrxhH3kRNdFxgd1jo9vr0gmu5QmNljy+ByA8yMSC9bfU38ot+Q7/Uti83ioJXi
TfV2fIhn5kGl0ctTBT1tkzvk3dMg6b4ZmM5In2yvcC6RQzc2BpbdLFgbinhhGM8CEYNIru0Z36AW
yEGFDV5CN/WPWkYicJLX4NhlENUHdDeolLXJDjFVOISoZfQkizz/IeTc+fTeSw+ygq3CwC7vVOkl
G7PQgqsUC/+ZFv2IbYUXFt+ncZUodOp94IvDTFs9NI2BbONSG/aFh7tQdpa/qUbNDKXl81qWC+dA
R6hoaoV+NTpJsCeK+J7ovWBLc6U9GWVg5RuTa//WynF0Q4djKcpFaKMRB49u2OPn87auMX4pgYic
+tbMw9LUezScgUGXNHAxCUYuWc5R+2ZVY78TjmDPYwP3t9jJCBg3EXampVvfMZ418LVl7RbVVgxB
LQNgHfjTF98ZEHha2XRVTou/IM+yF6wKlRe6k6t2QTJAhWei7a8Dx0ddMtgWFaLFLMgw/a0Nlt07
0Gc0deJYoxpHdCbNdiV5r8523sqrcY4wv5u6eUAz0a6tOOatajdCoDkqabgs8eXOUbrN9DjDhw+b
xcDMEGo/5mtr0Kqj0bjzq8x1h25bMT/IVFZ4cttgP81OcCj6SN0kmTWvh6ivjxlAz9A1cywfbgYN
fBTZprUt+9ZraTFX0aI6EA12SF3621obmLFAElmNjgUeOLDSZ88VeGV1NcKEVVizgkHbgnKtEMoW
t7lBzn0LIeaQJNZkQf0f1kITwROoDWOXJzzxrlXFB59YGWjCkX0mrYIMumzU7opu8gmHn9URTik+
N7iKwA5qtym+k+J6jf3AOwUTuvfQHkfiuHN0Y4h04uws29k4SKYtpFfHbnOVz5H10gPXs6G6jshz
zRE6Y0wSgB+mRqp/l9iJcmjHpTutySIYDnNdB6EktZGghNx5GfM+SWgEJenJ7kT7Vlipq5+N1h6Y
wBklTMsXDEE66KisxUdH3F+60iZg7F7sDF+r1CAfPh+XukDWt/hu8jVi/bLaYNJPrsDXotvFnph6
PH5FfEA/35zIjKpsFLY0DqGiOgkuRZjMYYr1+aLMiKDquJRfTelrbdhIlS33Rl+9l0hparEPoauA
WdICkzUjh8VZEl2TRKNkVsIReqtnLRsO6l/1g3O0z/xQi+4kUwfegYwywYt0Ga2F01MQxUkR1rF0
LjMe9DutkgTnDokVb3swgfgMmQSFBUVeDGZ6kl8n2TPdihFb4Pxld0YWDQz1vfiqE/JicYy23yQU
H2JwnZjvZxRLN2lSytxQhrr3E2jDFv9tXeNuByi6TmMzP9C4L0859u+9rbfjuqhGFuNmyaEppInh
NnZaNvegqLS7UgT9U2Ja4iIKKo3SceW1mN9/i6B+tuCvJquorpdFeS7Ujw6A0CoJPMqToK6NG5bB
8pslXU7BmqDb0VImHl3BQrQqGn6dxXi+iw2tf4oTnXtn1JpfhnrRqJ0oXHWlDynfvx/GtVhMYRXF
1gs60yJs1VL+4h568boph0nAV1hiYB/8YlI/MBoku2mOqk2ZkqtoJCNYC+VEpE7A0M+hZwX1b9QO
NNZ+OSthavAXvSGIiWVo9/cugNNrSCkV5pQJ510IllSmm7oI1LZSE09FgiI2iC3vx2CqYQ+xRGw1
w3xFHP8ZMILFkI9tSnNGse5RRJ+HxrRfBomrOZmt7ErXC+uLicZuwsIjy+EKA7F/iEgwWYOIBLAx
cSELbuFeBJBudCPGsUdY6t2UF8GJjXvelhM5DugGxnVTo5utljtrQg66G0Tj3muOp34UvtAhmpW2
Dfi65dkGSUa9MVb5oe95cOKIfJAVhxTqQZHxL822x61vgIFgMFxqpKmc69sSvSz3Eo/j2gaO8gxi
HIQm5O5728rkxpwieZ0hbTilfc3eb3DUA2gxPIlZE6jbHTP/0lg9cW9dPnswPiPyVD+PBJiyFLQd
gboEj+hhL0lrxTxrAdSFVUVHpbXXfKHSfKoiaDltbeHT9lxS7w+wWpN1NC//IKKQitY6Ljc3jBKE
dgN6JN+8YrLUYt20JskqSC3V6HFaroGf841FGUBJ5uEHQDNRQnkT7BGNKJCQY4yOm4wCsPXt9jNh
Tm6IwdcJW0cDTVAEEq0kjmNchLb8qtI+2zZJl+z6gV1NJ4t3D4uJQi4u3f6pS/IvXkPdPk+GfPHH
3ErWjUoGinmuXbD4SI/zvPT+nFi7w1RrHQxe2NvMWsLL0dGVIQTm/NA5fvU6Ka16tQnMos4iLpTU
Qe6n1fnNkvHsn1St45wfOWy5edl+LgtqSICn1kGfuupLt9TUZUwmY1x0sGXtOZ+GFdarnrxjURzA
YFAtlp61Ys/ybgur6Z90ozc3JA9Xr05Lfh7GJ3UlDU4tazIpePO6ymgBs3KQr+tcXndegg8W8Gr1
2kUljXC/oyKNbBs3Y+XMvCOt3gMUmwz+z06f67f36Eu/mPMVYBi4vok975lf1sda1nRDgJ1DcwqW
pSsuoOk4yuPgXZj1MxJU/2SMHG8hNQUnYcjmmCivPLmCC8esR+1K3XTCyi+HJ0ZQHKtGlez85eTN
hEheFxnnci/heMIwaP7h85bOm8Qn1idzi5th8uTXru845uiOuBilDUtgjJkM2vyhpbYULMtvPdkB
zQMf4U4TVsxbTsoa84OxvKoTJ1k2kmxcSw6pX5x6gvfWFCleamYlm35IOJEuh4aEvJpyHU92fauX
DXemStkC3tdAWQrybDhjK3DJPo8qxQbnaQt/MA0tvl3uqSuSXdR5GuhqvD+GYBpZwEUJ+mnqiUS3
BSdNq1X17ftJu7R4fPAA5aELwmMFzyQ/QO1I9nDmizBnvnTqI5i778cyTWhcBuSwXkijh0u/NFDm
BIRRJjmIj3H8g0gJdZ553cpwUoJNYFzYab6ga6DLKburJdKTFYVHsLCuHBSE3nRT9+A9AItwi8UI
EX4C6bRiXkoQkZh5BRlm0/qI3Ji2S6Y7oey1agMEmGMkDZNxUwLrCkFBwv/K4Bex0egNDQeGWfTa
6cRAT6mfZ8umQeF0Y/0Gq9LcQP1QjyXcgVVkNvlBWw61OIlY1jhJRcf3EzJOUn3lt7C0QkKV+JMK
k0N2PbPEWQYf/35u9sAFnaeMnlm5RKoSA/pd1+elTPE0bl9esEnVLcKWPx7NhJaRJJnpUFZGdKcb
eXmSlZmta7IjT37X1s+VQe/CaAW9DGST5WksrPgy2FS4odA7FneNIEG8QtWXSZCB2+h1cBo91tlq
jLmEsVM3bzoQNzzVGUEULWXrpnUpi8D5B6flea6bZRnGMNJe5W1OJyhIPGqNrOHHycBWVwkyhod4
6TaOdbrsAhTGXwyfR8Ke+/ZbX0fVa2xE4uL1ZGgYzfL8QI4ABUH/J3f5OtHSdXgvK/yAzhSojeyu
II1gO9tsky4ynIf3vcHoaL31vogvHks+532aV4Pm2BdPaA5bxRj4pzrgCtcqMx/GRg1hUACZcisq
EJtjSBi7qfEgXeAwSc+NDGjMHVSulycgf+XJMSkeSN2qNjH10kuL2Exum7miKBoNVjNbDE9qpDyR
GX0RvcrNB60grTJiHXsGDUSAlZtHR86Nbvjeihk6mkU+fJ2jKONxnU40MlpWExlSXmZb4U88IdUE
V7ajyCx4sTH1W3SfqpyXQhFY/AW8No3BkV6dlUSUaB0FiwV1c23S1Nuw2fPwvC+zk8fV4MSurprK
Fp85TSm5Umax1HHtxOm/saabhsPyo/SoljSiBlQ4EJhwQQ6Q7OKB9ygLLHYtd5DU1hbPmqZHd9NI
n8LMpyI5lNDYj6PMad4sSyVGGXPTZFZ2AaMIedFNHLoNwNWsOmB/iDmq8k42dAURw6szknkcHrXX
f/fKaNp1/Oqrss54cZOA4k+SnvwVVg8lR93O+SEteckSmcQXCGtfhsHhqr0HrRFowKsyZFyDLtep
QoexfqYqSe1VPylwIqAaAuqW3kmuR4hgxmqsKSeqKiKrTA1qPfTccOXjW8hMWpnvf/v+YqoiZYvR
jL55c0b2VMmmcijnbroBC6i2RZwmu2qseKETuz4Kz2GRYcYjLphZGG3PTjKfpTtTCY+egtCZ/ejt
uXI35Hjy/ZYGndeCrgAxeDcuVYCaakphac79jgMc33g8eHmKsd+3X+ZGxBAT6IB3HGQ3vePxYVnV
+8cu6n6nLzOWavTvnX0DBTfTUA8LJGDoZdTwk9yor6yqkFhH9nZCczjEpe5cPLczN6KDOqZslrY4
oPgmNnC68QTOvLR1ANJQHIio5OxSksvQWoO6KkdZP/e9bV+gB06PLAnzb4Z5v4yVl/78YtdHFoqA
/xfiLgO+zBs0q91riaWvhrZ075XkLKYbaXzReg4mdCsoRI2BQxFQOUorWhnHjJrnNZW0Vt9v9j9P
Dd5H9n+/ghbSOZKC+aXwMH6cjQjwEmaQiHZfFFbNgxZYCzuhr0/zqA27punjNaf3eaOYRVLo9DTZ
Usnd9eLlJIcp4C4deahw3bIaRE71Dbi9d+u7AihGB7Az0pqqXtWd81sB/68nFaIF3u++h4T4F8tK
YwZZJYTW7YVm1scItcnSuad6rNO6gSC4TCIsgnkH1sQvrWIXKceSc2HfOX/OXv49qvzdqBJLAlPC
/3tUefO9hLWYD69l8vq3ceUfP/jXuNL+RKEDkANVARURf/U/40pf/+QsGnjmhAg7HWuZWv85r7TN
T/yjZZJoojNEJMJA7q8YMUaZiPbYYXnfsP+g3Puv/3yb/kN8r27+ePjbD3//82DvD2fNzy+Jz5vB
GrOYDD106h+FgHlhkV4tdbV3iKpUa2KiEgMw0mhdm9FE2ENgpgxBGFQ1xRaITR2szBb+pe1XQPVm
HAJpGOc6s/K67XLQxoHjEoCAq3XdBDC5uugyuvQJCmXoazvpJ2M1FwzjFr1Ru6E9YuMPzU366lZr
IDnCftKtTFIa2cbSeGZoYlZPaI6bo0rr+Br/vY7Ac54fI1OzkpVNDbtpAp2TfFwV9b3ImgmBJnEw
/tqYdA87D4mSBFdWCBsrBA9ETEh69ZCOeVvick9iVvJdMwzxNs5acp74mWdHVWm/DrTAPsVFHhH8
43HSWeERoYGDsYaRkTY6N/R686vBCtJLUsXdeRhbbWdE6QxKLuKFxVszIU2LMjKoqFgBEGcCytjY
r7SGfT0vigCEioxYLnPHevQbLrOheQTW9CZR1aUr+k2JUmVvQpPc0A8J0IzbxnFEpHTTaZYLqHQu
bilVq5sUgfiFVcs2EXxl5ZFlEagv8XBhNsbeFoS53kF0K85EZwl9ozx3jFdNJuc0LB39M7Lq7tRX
9nPriO4eY1npA4ck6JDeeCokVZCf7coGnBh59SbwI8sngVGkUzjMUXS2qyxZK0vPQozMMzFOQ3vn
MZnDtELO8NHSwL62mltugJDcecMNfOZy3bK07myh39h9D5iurUzr2mDs82IoKR6bwpouQ5s6VIsu
RF2/Cx3Si1ceMVk7BDH5Mcib6BTItLx19M4+Z7b5ORltONgV9Ydye7UticS6Vz3pPa7mIH8ERKpX
RhdmWZre0Q/WL73WeusISNRBuNUuS+nRFzRYQ1hUFc2IqkCpPFTRPg0iZ9u7RfYjGMc3Iwq0bWVj
TVihjTLueMjFqp2m+kAvtljNeWBtyEUe1xnMl7VbOrcVT1uIDOwKiUm8KvzaXUN9e54LqjOkfto2
hryzctCD7cc2dkLRi2hl9EZyzIdYe0YOIQ4yj+s7B8D3WdEdPnp+W69hxykgqSgLcJjE19ZQ89zw
2I4ruvPmThK3s+rLOFmnuh1loXR7Z+Mz5LlTY7fUhYldiZ1rF0oYj0ROT8m2BWlqSZKUZtvt1+kY
i9i/G0lCABKttMDv700zc8Z7p0XMZZOJmcXGk2HzLGzI5U4gjuvebecT8/N5sucCsCiGc2tLd4ZT
LNWo4vPJPw3AMn4OoELpgA2X7hL005g0aKPSnGecq2V6YOJNdZUTD8W3SSFolrumwm1wP+DlHe+7
LOkdzpNCSy1aVbQhX4DVNnO5noes9JZjVGuGeNkCmv+tObGygccSL4WRCPgcMR1HkOlVweNJ0a1v
JjUbnKmMZOLr+/QjxDonMsanQWh1TNNURwHYvw/ZvD8mblyjoGeK0HfVMelKyyG4LsrAaAAMjrJD
qleA41exDkPvocx6V4V6bdHBxx1BZpGpGdPmffv59079u516CZD+p536nLTt8h/sEX/bqP/4ub/S
Pv1PeP1gCJjY+7F1uPyRf+qKAuMTSp5lg/5JUcRf/rUj6594dyF9E8DHXu45/r+yI/9S9rM2469a
nCyLvvmjjLrXeXu6IRYMrVlL3xvtFlaKZasLiOPWRdy8Tf1Qv0nIrb9xMLv+L/olXOSUJJTMlhXg
LP8ggAQpXjsZBtUDQU/z2RM0tOhWkPlLjeCvnY4jflcvUhrT6DjFGpzq7RUhgouApFKPM8tqvapo
FyG2yTD1rQJD0UzLIpODbsKRktQnktxl1hB02KZJP19FiafY6Vpp0pTp0Dt4NGz5LRmTqBj/y/W7
hoEJCjHcNUyfbROzEYMwtNy7esHhNylHV38cSTteGnDvUgkmkdGxchAxoG6mB8OvyekDIIt8BSwz
bxFwcUplIHBQvUqNlRvbWin3OXtP39wb0dyTBkWSobFSGnfp2yAs4W7HwNPMJ32IRLIpejE1KXli
mvMS64GCZEqzo4uvqs4iWXw1FrUcb2rTQy7rCQip14RVxv62wtws7oB+uQTYZwUBhwlJU/7WbIdO
Z1tArXQgG5V/U9DR854ntukSbY3urgT9e9TaQO+zMDJalihj9GfLDxEAGHAwVoUb6Z4L+FN8LWYl
LoOnqk1FhQDd0FO1XBmi9p/nfuq0TWmM04ZDAwNud8bkOU5LtDin7LQerj0/1dsw04W1zwlwv0Uw
VK1HqMbP+DQJuc13RVMsU0GfnOpgK5vBT1Gou/VVUxCoZ9fyBqyfyQMjPSZXywavqSC6HcAjP2bS
yZ51+MrALEqCxXCghF2SOd+1ckrvfOYHK5oVNdxOLdjGNDOBHwbWCwM+COG4f0k5bcpDEpTd0Y5w
2xtGfhfnaXY7TF1ZrjwNfEo51pSOo3tsK6JEA/VADxDPpxYE7VdnadwVNOPXE42dQ4bkd6OPXXHl
QaNEF2QXIRTS/LEa6BjWmhHvBIXwm8tQOl81wIJuBs2tX8WANwxXh9KvA+XP8Qowtnak3c1PEVKo
3zbL6GxETvFkmflDqknzhRQGKUKmRG8JO/6T6/NS2aNlbxkK2geREXrp1hPde2v8HqHSf52nzNgE
7JNEYsSie21miuY5gX0Wj/Yqk+PVYMfOJc/afGsRi4HCSUTVviFp+1Dh+zkzqwdEa/aMl70S6YA5
kuCZZrQvbRWEvV1BCu8rcbFGp9qTKmhdofGZrnPMVftCSAfPWWxcMwxJn+syTl+4o/lumnrrqq/m
fN+XJZMi7BFvUnSARKNGeMekseab2umGU9FRhxcJ3eVVJH3vTqUdSdqaZrGsoCU7Q/qzboNZd1EZ
8Ers86mJtJX0k2Spf61L7/dgjhor+Qy9nf6VheXqLLMhORMJWz+QUjLeo6uWRyuDJ6yhh3vBTJM+
NYPbXZGmhOx66r0U4KM3m1ujiMmi1YPogMFi3CHPFms9DfxtUw/OD2doKEg9V32eUhqgIgBknMmC
WU10pn3FpKkna2UMnAnuqTiYgbxSDhT/KLBIf7X7b305kv6aAYDQcZCuoCBXa8No6TQkJTV4DLl2
ntz6K32R/kqvx2Sb2yoJ3dIeb9PKYcyPU3NfUWbfRmpUz32VzG9OZAy3XJDoQpxm/3n2lBEO9lis
eU+6dVVMKVoIO90R6+hCuO4rgj4T0uO57bwt2uKO8zL5jTlwt5sZvZLTG+nWBlW3zbSg6UjFGEoT
MCsZGqk5xLTLHfPHbMYk65Ji2PMoK6jqdG1o/w/nOCpuqHeDa7MyxTOK23w3E0KzZXJJvjpNS/3s
Jpl+DrosuKa8Mm+JwunZKICQnKrKyHdBPl3yuifCz+BFPfa94ATI3AUM7NhNhyQzBCHHDPaE74IC
7kmy6GuY3J7FUlPm5ZXmkqhu1rZx76rCMUO90wDY1q56i9MRWiuJFA0Jqm2a7lvV1l8zF0E9gfBH
9pJgE0E1+ZLS1T3k5Lbuamy4D0aTkpUIpPPa7MAiasw8OYSprH5syz64nhxvPg+t1F5l1evsaMZ4
lydVLVa8Pd6pHEf1jVEeLMxM1A7MbGc8kh447KLWwCbbNdaR+V65ZVpVP42O095MjorWNJjmnZVM
8S07m3xxg7766nel90MlWZev3K4V+CTFt5HUmKWpDL6hk9hx/f5KTa2z5kjfheSvwKkPtFY7+MBL
Od22dCzINjBIYjVHAkXdWSOAHsrKE/bmblN5BCVj+0mi0HHT7AfE5pqqf6g/+4Kkjg0nguKrJYS/
K+spOvdG5F8NPuDYfJqbQxz4eygxDAnoYrOf5HaXX3fgCy+pX7TnzCBkosfYDztG685RpxHIYWfO
9Zh7w0obyv4z9ht3ZUqcSmGLKBJhqTX2t1K0/omsSfVdh3ber4I+YbsOuMaEfXTaQxw77kudwOOY
KNptEntBcy2LNqyKmSPohslkxQSitK5x2MEMg0K5zvxcGeTEOP7OI2VneSZIWw7NQKuRcECRmCrP
f830GStiYr3afVsRgV06974Q5D/ok3Uau8BmGVTmDd4gPaSvel5u4LEm0mw3d304qDJZBKbmufc7
sndMqPRNXNKqEab16PkdFHNPy7d1XTk7zU1LOBUu6Ukum2OekWqiVZY8qFlvb9Gt2W9MU2DsGx00
634cgnvDSSUH2dbckgQO/CxKYzssiEa4yaKas6Q5TAGhPMjUUDVX4ahbJz9qRm47cRDnWjfOHTqV
Y9CZ/sZItPp7TNJDx2R8DPbEWnt7j2gRSFmETJeRam/knEvwK7Leo0MxSdl2ypAeuhaOtB3mXcSo
6DO1gPkw0fdQNEOQS5A81r8UKKy3EVR2p869jZYGt5bJDJrvp3fUHSN+NJMlj/CuLo0ZWDTawS3N
luwK2yUE3tPq+S2RTVGvWpQ7R7Of1k7F9oZ7ncGJsNttkWbOTURtujUAHlz1DKzS7eg3Xrq2oHCl
4cQifG3R9V23dfOEaaO4DONAgG406/aO/a7cDjac9bxjcKAlhrc3melcPIMRJvPX5IUCzW1DBJ4U
ICra9zKNiDbIED16BsLVg5MLI+TJzm8YOAxxCGo+dYhPIQOpHFoF8icb79yGZPNxtsaDq6vy0jET
4T2x3IaHI/C+UfjGG1hU5i5DEnnGwkoxTa7DVKIC0Mf7gXzyRz2r8kfbpAaEgTzboYOA5yKzLria
swVxKJzogHiQdF+hp/Tb0eLXqPOG6JD0QzOvJ2Glx7RbgrWTwUh6Ssyg2he1KdrvVpF6bZDhq1aG
jwepRj890J+fEB7AQ47rW1drrbNtN+o6qBtjHWSJCDtRT8e4HOeNoPB/nl3/KrXdB+FyjO7N5LpM
aOnlln0sMs/4gi3AXGH0yEPyIFCQwk9+Nsi9PSjgW6thjK11Te9lI635lYjWr4mn3foS52vAyGud
zwbDzZqxZtWV407HGxVm6MYnjghXSW4Umxw4ArfF2vbKt8OAJJy1lVPcAH9n0JpYZ/SlL0jWEFoN
gJ9FluXrLPMbZG45F6YYA9pvjOJ8i8N+5dnlUcQ1XYre38aiVEe8BpcYM9ST1ZR5FvpTRevILZut
gcsknLWJHl/WW+u5Ut2qArjp+aDf5yS1XhQYsF1Kmg7KEn9H38i7TC7x9dItszP68eyVntPG9Jzo
oehady+1SB0ds9UB8ufJehCjHc5+wzbXxskhkZ6/VW03h7JlmqLsflzJqhPXpZazs2epujg6Xw4v
PHE7tMbcWjZd6EqEFT+dmP9sHP/cKP71WOqaOGdoN6M9+9VVHUe2ypPeTw4pkAhKuAmldjP7rNIO
OqB7smc4kVJLlWzZNOD++cM5W/99FMZpHPsHth3fge3wcRQ2J2XjqlkmB2NCmz+n4A4YxcQXtM/Z
3T9/1C9+GofzjM9/l9Ov732EJCZ1krpTzGB10e2UG94RAjpKJarv//w5v1jS6INDo7EXkyEmDPfj
cCqrlLLhp4pDLyO1jYErHNz+XSefdAz4M8TeQxDrCTe9eJWe4EQ9zozZwYoth+so5rd7/5X+3T/6
Xf+ITuU/TnrOhFq8vsV9+73r2r91kP74yb+yhYNPTHpc/LwO256hBzxbfznTrE8O6G3QTr7zRyvp
51HP4j8DNk2K8BLnyZv3V7iw8cm0FmICM0AX3QNWtw+jnX8a9Xx8iXw+AV/n0tviw36xUAWWIiNC
anLvJ/mPGHHhjpCFaEW4+/ibteJ/+yQTWpVFs8EymQr/fXKdl5CJF4Hc3jdnvOK6/CLLalqR3t2H
//wW/W+fxGcEFpZAE2T88v//NCMXlP5zIzMJmz3rw6jXL+1QpJyh56d/+YOYw8JPX1yxOp/19w8a
vByxZDPLvUJBkOXZj0hLfqT87//nYxyf9h93/Jd7BKgY4LEzSUbLI6M3n2Zai34lzKbk/3HpeFax
woKCxSz5kVAlpF7Y5PxIgqCL5jTpPYKnykR1Vqa/+VIfe4o8eL6LUwTQiAVp7+OE0RsK3FLBKPfx
OGY4sNSdEtMTEVFPchj832wVH/ep9w+z4C/CDEaH8HH91gyn4t38b/bObEluI9uyv9I/gDLMgL8C
MUdG5JxM8gWWTCkBOObJMXx9L6SsuiRSLVrd51sPsjITqYjA4H78nL3XruoDonLk3IhXDtJvooD5
w5vuo0tO7dYKjJkEx//+1rmf1PtPX/2PDkW3rdDfolM/oCCoHgdyJgJHkPoGrN36xfv14x71+Rtp
E7MqAEbgrf7rw7gMcpghMddgU4mnLYZ63kpTjx7/Bz/oT5+yahT+9G6tXlqlYd86aGIijbCdXlQx
lqey/Z9duj990g/rxZgVSYX1kQckH+aNO8m3hSI7/PXr9TPWH50Ks3MDl67rYElZn54//aZ4wNtm
I/M69PC1AkfrqqCfQGrQgnttqELhFNcU0px9dk6LFw7U9S9a7I7+85oF+dH3eTg9YcPwXl+XP32H
Kiocv6jqAi86TdVaV1oWMPSme80gbivweG4M0Ro7cjedg95O1YYJmkDARZmKCRf02YjocutDAQ1b
BlLvn54FT0bWcY183w1e9kFZbB3jxVAXKsEII+zScermPI26nj/CXJCWZzaaeDEJgPKmprifW2F+
yTyzOnLIjL6pghP0WEzOIfLIj61mQgFHySuVeRNRst084KZEvoMGpUFQ1/cAXIcsL7cgEspHstPs
EwFP43sTsdEYvct3J4XqfpZ2deYwqFANeH5SbWc7179LuuhgKfk+Gub9twLhwSZTdDsqEde3uMaq
Te/QOEDMHa3j+CFndN5Yvdi7ZNvtGh3rlWywb2htrYWFzq9bCtZOjjp9iBnDxK3L+pbEKaFjJA0R
ajcZO9AqVR8qcGInu0A7B/awOtNUgZJSoALyRaGFXq6bX+JEOecpNuS32K/yF3dERt90Vv21cQvz
S8RvrwNvRBBeF/aw8J1UBC3Zq0UfWhYdTqaxNoMIDQHrSzcS7YnSsLjXtLT/FnFpiDRr6lt3kB+6
wT0diPb5Qjjlx9SN0SMz/uo4rqtz0nXVec5XQ0uLxo7HlxlJQnqrOz2QnmAf2VT6EB9yuldxbgVU
IukaxzqUpzQmZCKwB0xxsVXTrHHj8sMlNvpqEK+8d4ccsJapjajhPt+8vCNMl/RW/yZxuWRZykWg
+0kSsJ3MIY2f+MlfSLoiBDzNvgmaqUHRjIzMnUTiJyVhbyF0sXXzfYolrb4Y9I/Fxk2YHyRRrYkt
7rjOh8mfpUvgIpO+Ia19+eKTafOElaj4ML2kOvEb5y1RXlGAO7052NIQLxUv95NVVjw/xOs4NAjx
YmecGxNFKtqEk6IFvkvfzOQW9NGUOcQH13EVEBanQbZ0xQvNAV47W1+0tZEqAJ5yUOt574meIgQp
eYECG6v94JfyTYDB2YmS94jUBQ7qqVD5vlPRhFhQqNelXbI9MR09mDytNdOdrC1n2S44xZug7WK0
Hi4N/O9Al7vfzIV3y+a4Z2zy0emeldfXX2NpO2dvzlnGUf87EEc06wT5IMVxNtJ2MTLuhJPE2bcm
NsvTFNHmxihlhlkrP1BdCkzirnXiixg7wlznjUbLExcuXtkrsaI4EuN8zZjjDg0Wu+9AOFjIYYNZ
XiKiR6laGiJJPSW/l7Wgd5m5mAjcxF1ubGN4rbtZ7eHnkdZIR44gw9EvSXVKPzo874xGCLbr1pZu
G//eD623SbrpsWxMvKzq+5DM6akoXbTxUe2e2Y29+2SdDuJsnLboptWF1qjYxhnvOeBTRhO1l33x
jXo5E2u0KxZEyfEy1X1YjBmjHxxpaWD1OQ81q+J0l+Q4mMtBiluLuhZPGG99NuRoSVUdYY4hS3xp
Wd2KsVd7Y936a5vfbRbyLe00/9aHevqWTySSWqo3AByNSKjtyDoxXeXTWFC/DQKfrp7TAFdgF7dO
t/AaId8QkIIHMoO0Nm8Doue0MCHA/N5w2wYXTf5GixBdd8v6Qfaqx/SMaFqzbedN5DU4ABxr8O+J
lmyxPAysZJ/F3iAYP+R6gepilixi5lBt3JGPbnEjHNJVAcOka3xP4NrV9MEJuOuI5LNx1bdpfmvV
xAImo+VzE4r6tmvW0r4yq3Nu1DxMyG2HNCgMOimkuJI9JxBQu6jLP1ddeodf+8w3ftdHViu1PiOO
vhjXLOrTq3SmeKdm9FPeSDHD9KZ3yDt3dh3C+ZAwNDN0rIUVsa9WPZBbPeNdF7eLF5Ub1FRtyIY7
gj/vWblzvW0Bibvlk6rjKPTdsjwxay3uu4G1R4tZPUbBS5+pgmsuqmFnSRiAcYlmxIpM/bswhv6M
vpySuBo4/3f5ASWK2ssEElYhYu3St+mtlVrqVZOyu50nlFlosr4Q2jnilYZ54DOq3duL4RwWkS54
aJrittba6C7PvnoNIZC4/T6qeA1J6tNn3memSXp8MEHjE91dNGGvW5AlZwy3bIvxnsX9u+ZUQ2B6
bHory+mopUn+QvxieWpLVhyddvxTqhv1Ci5Gaf7HIksOL4Qp7sGO498YZC5p9uzbJT3lfBoOILXs
do/Dh1F7Uo9B3wnJYDHPWcwk50x62KYURYieKzsy7tQFCZveiupsi3Yzq2Zpg7y20gLXXdPreIHH
Zk09Np+7wixOY2MVp8rr9RpTzbCKXLsB8R9IrxztP51x9zyP5lQsbD55y/pXeGP00GDhgWSbSQJN
7VQVdHKlsAhVJYZb+Sc83BVTdnewPPrspOIMtOfJxvnoZpkQY62y4vfawdWNCMc7Tr5XQ7aYRbvK
0x0dl8XEuj77K50n7Nu+vytdjyxMaRM9i30LkVFfJy3zImswFBZDo/vmZ3qGfX3KH0dpTcArDHfV
JcwRztram9WpZDK8SWv9u+0Ph1pK3KozY1LbgWhkurxfLBzq3nGkdjGsUoN84BXMgGxz3vOemlZQ
SayJQ+73NLDhrE9N9JYlTrb1AH4S+I2FrvIa4xU21HQd2KMxRMWtviltc9BCkVvLldc1fo9zD3tx
ZnSMUrxJUN1q2jGdHEb/Xlywvtkuy7cdU51wYEPCNRIW52wYv7YHxpzMx/zZUb/guvwMvFoL4lXy
AueT6IIfT4E1iS6aT1fykBSFfRpUV3xUFqmHwdiPnU5/2aa0yvOcy5ZIo78ql8rCyECr1gZlFaLQ
Nzau8uSbDHpnk6MOMhzIIzm6u7NtwicpW9liWunEtldNWiMGiJwDM2q8ChMnpa3tFdGjZev2m+VC
zQoE/9j7muHdg2VguY3mCT5tmspvn2tgWerCD8clM39JIVuPGX9Rwq6UG58TFVpcZLf2Dweeblli
ZkB6fsCawNprjupCRpXuAT6lZuops68zNEeGLgj39ploqzOLn3PurQJbuCF+dW4GjPTz96FhA5qe
wBHaG389KKwtP9YDvk9bGC+DjokkY38ZvfStzIeHCMHa7p9PfD8d1HkYdE7qtm1wNgHO9dcPxOLt
FDFekoNqKEhLEu3ZrClNyjKpzppNYu0/f97P5Mz1Az1nxe4hcv6JA16i1c1sN0PD4Tejhm6FPS/t
SlVvoCi99YSfbbOOZ811/PHucwseyfJ294k5GjtAGxpt+Nx5I5pZ7aeOGuefv99P52yBwNo3QZvw
hnBdfrge4IRHF75hysgTN46jxdW5tsdfvYM/dSz4FBoVZAAxFUH19cN5cGBkE7lllR5cm8oV1a9G
gIfbhw0mAKJ7MyaKs6RyZxClXv/5B5prp+Cvjzz1ASYJf9Wh047+4bNnI7NVm4/Jwe7GOMI0iBte
iyLxrRioS7tqdOZboTnihenZSybm5kOrnXHbz8phJlQhLV0Xu7YPmnzwLZwpNbWcnbUHil/sp8AB
fmsiI+qPWgTc/Y+Oy//2q3/Vr/bgq/7pRv8EUXtIqt9+/z/H7ieQ2h9/8d/OBONfjB5Mjgc4DQDz
/hmkZvyL7g5je3SN+BboYPzHl8DfgI2I2celH70KIv/TrDZsRzc+jQzOf9OoBj7z42MJqY2WLgpE
KIwE9/zQEGraeGgLwchSg7ADNTqpHkVm9uk25lC+TU3ndSyUuuRanQZyqF+BtmtHfUS/UQ3M64ol
Wb1ddnEvVFHeQax+gSzAGl3njUS5DdQTfZ91bA2OGDYzyZ2cWTwwil7rnNofz+2dnMb2TVjFxR3z
Cwr2PeKLaNO3DqKpsXCCXA1wfNr0Y9CH9FpwHcPGq0vk1jRZdM1fgskxxyDVl3Ml9DvX6DiVtuNb
NSG0c0iGx8BFgl3PWWotUApQ4itv9epZ035MAcPUHNFFht7AUA8RudiI/4edbWaXYV7ubAl5IeZP
tVILpiR9o4FUbSpm6E6fIRo33ingXpu521U5RxiQdBZMWGhAre8Go85mXHXREhAvdTV66zVT+ZtH
wQ+SeXzQ2+yyXoEe1f/GzvIPWZcaXIhe7qz1KGRxHAN4gjWc6fpTbI0Pfjm5Ie1Y4opz8Y7jgY4P
Gc4E5p5BhFXHBXhlqI0dF0bXQ9tJT2YymMzrpyc3mR/G2n5NrOwUT/lb20iWc+fqJVbrBpTIW5sf
tB45SWu+s3Pu1Wz19MZqDiJ2BvWeTWrqkyIoTaoWs+JCgRuDp++wKmF7gM2e0YcZNFWde05C209b
qp0Ub4MBQ1afaW71q+1y/ayac/cWJcIdtc9db477IVnOn0dHgCPn2qtoGWTJh5XzxxwjvWSAcXDJ
OAefEPFAgiViGjy/LBGn2bx3801KCNMm6/gglfoSc4y93LTIl2Cqv7Q2nQ2a/U+F7mymuRxBfbf9
hsroDfukIHJxever5azMOEWw3qbXrPFesZd/9xvrVoypATiKXp7ZHxZnaA/NpJ4W9EfkCvQ8qNYh
LrhHmk4cZdYrlPhobcFtJdtx5H7SqrdOAiXAdloIkGzMAhVbp7+UsfEurLEPiqlFkhCT+eupp6Yd
nuwp/ygIOmYSXvWboZierIhBfZZyfqcrRSPF1ZLQMNI0/LzuRulehbBfq6aUYCqca+3Y3q5f/x6/
E9YnStXRcl9Rc86HNQYbl+d0rU2SxGWEn8iTyYxXmuLcWsv0fOLAODc2U3AB/ahZa3tENerYFa5/
nJSm3WbJnG+bpS5uS2LgUMzk6lQkTReaWm6995wWZtW6N4afcfhEdJE2QFepZeVGFCCqEA+Pb5FX
tVoQ12bu7iVRFy9ZGb0Uk4YbYrE7wRnaTEGJRVe7zGBgYGfOphxgK/L+BRhE3c/ttrGnxNi0DClk
kJKwcvKrnqGU11xzLbkrUUpviRJ+qTSDRurgOFs1OG8TAdbvZWkOvJUrERY1n+/NMqgX4e6KlL6A
OVfRndE7PedhHv9Fmu8Vkw6kErBkE6WH7mQaO8vjCMa3wPmx8Biy/eqbCZPkra17w36CHhPMmffq
ae51QJFzjFT7oY3tmTrsF63un8pJ4K543pj4rKL4nwobBun2IMesOjBHIEl+gIEe+dM1dRpSOA33
F8Xa37TVSX5AIkBaqM3A6YehCKaXoXRBRmCZpHovjQzRnZUErsWC/qfN9O6P8uifpBBMPnDk+Vjc
sef9jKYePeBmEm7sAZjAm4hYDdflWBrjHFqkrVVH/p++++fP/BHA+fmZawomZlDxcxpmbJUi8TuU
bXPvJDSi1FM18WLD7zuMazdk/b2kpp7bjgXwnz/asn7ajfm95JrpFKekR/4Iz62zeFzk7K+pL621
kVXh383AHNbl4iwrmUH5md5Hzu67bFTqJFXHeyuIj0Xa856QbRKXy5k8SHZd2nFibavLod2a/nge
XZZvhod1mCHWaSp5Kd12VzjqYSriF91JCsZB9nXwKfVXouPeQRT2NXYYBdg+y8M//9K/eYQwXsAR
wXyL9eGzWv7TZMbMU1FUpl0eErPb2ZV+xwTjrlg4dP3ic/7uin4mc+EVYWT44xgKHIY/UXfxrIrc
PmIdu5uN1N7qmDExDwmJSznj7Mm8JFfzHU2a4h6ARwq8If5oFOvyWqrIjALCMKcz9v4I78HwpAn3
arVqn/gs904N7SGOE3ffTOb0Gjs0NIrYhGSSzul5AJ75UGbTy7R2jlFw2aceDN92dPvqbJfpR5Si
0ywzTvvt5Ff7SZMfUbW8+PGwW3r6z3TZD8nsHJKkTMO4WOi41tM5Q+sYmsNyh9vACkyT/7bwtW+t
k82hZ/zygPY3KwyHFh/vDR4M0/F/eOdBD1SNrVlA4keU+JQTEyubQwhBoI3W4Z9v2k+HQd56NBzg
ZDHlcFxb//2fHo7WnFMPvTaBGZl6sDt629WvFszPN+kvxzF+imtw/l7/iZbkh89Ikwblr66Xh0qo
etelkxna0YLgyXyHMTXvexw/mWkfhGZex0gkW6/MT9oUfUHs/N13VUkfDpeDn0vroCSbeCJYneq5
uGBw/aD3aG29KCVkz3IXmoh0HUGudjd56m6VXz/7DJsClz7bEV36HOYOdQvHRo6ioql3ZkvLxRKN
uR9oyge6mX44JY9gk2YXNWWnzIlnOrqSAtXAsucYdUjjIA2V3j9UpYnq0Vp+Ectg/80by71AxICw
heCmH+1KpcncFHBveTByDgoK3VaY9szKIF3xmxOuQEq5tcln/1oARgujrtUDTJq3veRZjjI8A245
7MYInUrvGhWWYP11ZIqz8VFnBplyr9HguSE9q2uCE3rjtKxENcCJjSfnF90c35dOD7BNPU4W1aFo
+MEtrFdYKC8zhRgk4qTeI07ci3p8iB13CGTL82nXLHwgbsZAaLbcAIUTe5NWs8BKc/nnB/dvXhL2
jPV/+MU5vZl/fXDHuPHyfiS2huHNhhJnoo/P17FxNEd1/Is7QsjZz7sFmRUWyxrpbv5P72RjWzO2
V1KuWrMrARN3jFMjeYrYqYTB/QHdkgULhplAmSxTUlIBxvnFzSgAhypyg6oUdZiSdL0V+JuDFCA9
Ajz/e5cZN5ryb3NRdGEiqPansrI2Vg2jUC5g1DCZe+tmzGMWW9kbdgKqVGbKckEJPZSgXirmZmm/
VUDwdj239PN4udiTtUkd/qBos5Or9fyNelS7Ohr6IF/6hEb1dPd5CIrAVWzGPqtOjH+e0p6DpI/T
PVzoi4PXG59aYByQI4AjWerJzIy7RktPiEyZennDJl0N9uv/0WAjgvldH8h6UDvDpgO+vkbd5Fwr
b3xy4/UA4TCx9F2GS3lDtaRH8jI1IAi9mj/d4pNtpMMr1kfNDZ6Ud9rlm3HgAss8vaQW4y5B6m1o
5/arTNQDCgc3tCrnoMripCl5+hyQk7LN8afPTxyK94TWlSiFFQ8mb4c79pfccL4lHaKPzHCucGk2
aLrncD0YYQaAA84k9Yyg/5r39qvZMmb6xZP7N683tQ6WRH0VS4Lt++ujm88Wynob7zbutfeyUw+d
zr6nOGZFNOw3a/31edSuesE4X1Dpfb7zZdLv5rEbAbPy1zDwbrKeBEUBItbHTOQxoSYEkH4fmcrT
MB/ytSmvUsx49LvTbbO26xstF5e6FQBfYvbFfmHUWrKWw7uBjKCxxsh+flEW5ZbeWnXo6ii0priH
ueNTWcccDNkPE6vihsSU2Z4cnnrFCtqa/UPrcyQVQ35Rw/BgOwMIm9ydtingnk0zLuciGZ9kRAxH
YcB8dar53e1wKbR1/+BxOjhkqXtVbCIcMocny53u1mq+9/69v/5vh+1XHTaa/yyT/3/2xyUty9+7
qn/7ixr0j7/1bz8xYQTox3l6QcN+Nsv+nxpUeJ+6TpICiN5Ejrlajf/dYBP/guJPR5a9jMhROrP/
abBZpBtQg7CMAxkV/Jf/myYbi/G68P+p2li7e4RheFROfEE2hh+qJ4uGctHbpX4uda1KmgEanqtt
oPlFUKONqd5mtgXWaLZU3e4m4gYBT9e99fs05cjLC1TZAeTw7gLgyRYVehzGrNOS2/aLwdgr24yd
8T32zfi5wIMXprHrfFHAA3GlxP3dQiRKtEsrSdRnxZD8Eo/8y1C5k6j3HICzQ9vL8uxJSFyokO7z
tre+ayPc3bMOTxwytmv2N0oCZn62Mjbpm25ZLTpD7rIKws22ht/kMhPzaXZTGLmQBoAl7ZYZnOpC
R2ZjtbqFBskavqIDGIEeDxD8L5mVwlBjCuzVu4x7+wipu2DhNNGqbOs8Sp+NZGaZSKAMhm0qlXsk
cQK+HySgR8675rHz+mRvTvK3vGGSTWWwJhCgKg+UMs29NNOnGTzXnSu9SB74I9YFGm5UAFwHMgZG
gOzElnnQtje0NxwtE7xhDAvwHD0tXIBCbxthCgbtELc2S+I1znZhwP5g6LlzUWwEW6MfPOM4YP6g
47WI6AXeivdYr46Dtp9N/4iAj66U7GonBx9nd03otZF8VfCvtppleiGOOY9rUKugGaby5Ioqp3fm
cS3ZT9PAdDugJfDDxzNMxdgPtbimFE3d5QHnsZ3q+yhGdpkZLntLSw1p9iOhRiNsBs+f8c3YEW1Y
f46ig41D8LWmtAWb0WnLk8ipsek6MeQ62Gvr6oWO5VA+x9Tknr4dGKpO2naEbt11e3OQs94dk9gp
C6ReuZMab9hl2pg7l4PTcHKxLTo7NJvavi7Mv7EBRgjA0PMcU7U8QKlwtyKx6Y9lFRib1GlXS1+D
/dcVPVKcvvMpAFbMDJ5IAORLBKhiwjRTat5TNkFgdswjreoL5A4ZLOMSeGl1tZulCSFe7SElRic8
abvSzbpnTUvuJ2Z9QcvH7BC20GJT81dDH5ed56XRLlLzo57L7thAjqWZ1sibptD0I22zjGqlMU+C
gKAgY+q97TTkGIU9pSd7yKvd6FewlfN5OeoNr6YJUOdZzOa3ssce0xixF8ik19AzSLWrSq/vT1g9
5LFLx+9t1eYnnPnxuXGpTJal0LcwlvcVHbiOKnVnY2XJMg1seqGVYdxoGENrqF44o5LfnaV5RUoH
LDyiEeU2OhYeXA1+iNIdmO4wxzflam3qCK3Ygx177FMNax2IIao/JwrtVhp3fHt5ls6stUE09fXR
sKzhd4h288ZPMAp7vGyHplYoD5mPlfFCCEjTIHlwHhsrf8j89GYxIkRIg46DdXlKcbpWtLhPHs1s
OnbQ4gqTep7Wr+Tqx24S+sp+7ppm78/TRZoaGB5nmNhec2rDaCHYKbJfXDQtwVgW3cYo8t9zGySl
WY74GfNkeEw1svsawwhFD8oHAhiLYOpf7BqllCww/0IgNgLyEO17HcrQdm2mhp5QI89WTZQY98Pd
mx2FrJaI4eC3+TvO3pQ2rC5OLsvlaWgtWpSRJTl39PLAdC3Z8FYY9ziV7pXstprPj1qq8jr5tnzL
19UsGyIPU5PstHNdm/ZDajbuqar7JOSGtbt6qgUKl+RV1zq4Jeb0kfSFcYi9DnFFircd1C5JsVok
Tsw7rW3Hsn7fW9jX4EmLYya9h8ht70c4BTuWCf9cSW30wi5z+y+sKzQolRepoLZ6eZXmoMKmz/q9
zo3a6VUzXJ3YSR6saRKXdtIfllbrN7YsvoKKpeIWA1qdAqsjJDaCv71gKbuHzi1ZXZi4o+yXO1Df
Fl+vst8Sm2a4lbA7NBHnfkPsU9k/5ajXdiatiMcxGy+11rThZPTyGYvjswN0Ocg19dYt4tWN4c0P
9DdqwgXI3Mgh3pvjrhvbY+XKPec8mlKEhlzx5jV7LIbvpTM7Wwfz/UHvzac68jIe4AzpR0GP+ew0
o35NDOthEPVN3iUvuDuh3UKW0xkHBKy0EIjEN1uMXWjRwM7WtbTW/Du/s/ZdKqeHiVuHOEdRlrKM
+t+yKDZec8d3N5SrvGoa3THTUxea3lvVZNB/zH7nqMY8t8QaBI2q0wYjepWE2Zz7e/RDyzGp+kNf
y5NKo2xPW4E2jdBqDIHajs0sD5dIIG1AZUJgjT3Y77bG/QKeykwIP6p9nxQrONRrmwtEeC2cR1Vt
SdNIvteTa4ejOdxMacOeMObPhq0OJUx/oRY2VikQeLb9o5q7K6Lq4l2B5IL48yqBW20VvwdRZJUx
CPLSs5pBJCNw2Nngq8yQ1t6C4Zq4RQRLTb0ZlsQ4O6kT72bNmoNuiK2vUTXUD4AusxKSVl/WWz9j
ZVKFVd7R+0VJU7UJsE/2tZpsmcNccVTgHIuPdqiHGxMGb5iaJg6BQQeNbmnPiTau2zNg78oVgebj
V8YC8qKhsrvV41pNG8xvNvPDeZHDQyk1/yi6bDlNynq2J73+DpZIiw9RUQKPdryRLrCVG6Ri2zBR
1IF91uTMKd4LTd0ZiYe2yR77h84p75jEaGGTaffFnAy3uDy+dK3V7obJxUK9uF/8jpzJKaWXrRn9
1uDnbUzY3d9YXmn8onJ6k4vRbkfyMI/WpJlbWalk7wJaCny/ZhJKWxVhtfoqsDRvS93XLrEasxek
yXQe0OB+gISCZ07PLHASK3+rmDk8eqPmBtngf7UyTphk6Hgv4EnTjRa5eog0Vz4BMtaDiUHiXnik
31kW5+LJXl8ibpgMrMkCourj4JSCrxe3XbEt5G91m32fdc17EKJUX6xObXUxJFfEzA6CNbZsT9YG
OqeU8PRwqVs7qPU2PyPMqQDLDjY1QhlfDDM/9Bk4K83xgHAOonrwYUiDpPGT4Z6sEf+weG7zRVvE
gaHh9KRQM+8MkQoGU+Qa3JC08xsH6XdWZ4zZwhWboY2G51QaZ7e0xL4WKDUdkDtbhKtsEKRvbnoT
Hm/imHqJ5V6a1xJySFiZTnMjjW7hHNbNN6DDxGGsjIkUgeY9jwsjHKY8Ne7qWhmPLJDdtLUGK/cD
tx+TfG+XMW3mws7YvDqt/Np4wjrH7uzscmrBl1WLOSPOy/1VjjZbjwxxje9l7rjf7bRMCNDpY5gA
CYNQI6dgGLjmJkJomKdoKVG0n7xh0YDqokWzzFtOzERdkHjUkj4FN3xTUHkgBU5VnIRFZMDDPrfD
6O2AkMSPQqMQxTyei7AAud2K5Ygg6jf6M/STa0Kai75GXAxV9xiVlQnFzMFTa+t77trJkTaz1xQZ
T15VtGns4ZvqbfSrS810i2wu+ILIU9uI0ZzGfCixscXP0dotg1twsHrTDpJWot3Tx23UWleZSOs5
xSi+z2vXP6dJUZ0lQ1/ErOJxXpJdrpr2gQhGe68b34c8oWCSIINlET0bcVsEeWNuIs220KDXhKs7
9EiVxMDqzuXWa4g8LXnuCoTVATMtI6xgAWEUUhs/nxqWE6g7SCIUkzbMIUuWfAP0c+NS4O90n0sM
Q/4ZEVy1xX8HOy0tmGvQDJGGX2w4qiB77TWAgMzr2RPz6lhV9oMYC3sP4uQ9L4fnqp4JcXKX+77g
nGL2DqTasSQSg0lubc+0XWunvWgtI5Z2gUBE5E0X9BAEn6e+K+hkSLa6WbMDWGrkAlQr4Mxh5mbK
qrrJiuUZyf60A5ogwrSKUkzoxsaYvAVlMk85cDcoHyS1u5MfPXtGfoNY2L629jo3b8oPil8wxEm3
NeRShYmWmdxSdTtBpSUhdSieW1ummxx7AeSfUuBup9hBD+jATpL5hWCpNSo7K3a0eZqr60ff9a6N
8ZVPKLmgW9w3Mwg80blGOOceVY+B3A6i47Wc5uFq6hVYwWYMl67FBGHr8xXd60mDnoWatrIInVEq
gM813viW91vFeYMklq+mv7zFtbv3jG4AQ8M2bMpsN+bLMfIztV00bZ8nH5rfDAE9Sv3G6GR9aLL2
rkktwm4Slsek8UNAIfqurjneKrO19uSa7dEYGIEl5Rk+Jxuo1DEq+M+wgEkpTZe3yRveoyH+XlUZ
z09l3Q/9xaui50otzOCnMv6maYQRDFCuwS0vYWx5N4vwX31oMS2al33G5hgQ7UTAFxDrQCt148a2
63s5Up1pndTDfliIXgGMoKPQrkbKM+2O3BHlB1kxLWwJMuLnshM0KFHqZDf7fndseYK/zW3yu5Uh
tbOicQ4Sy+zgpdgYNhAiFF/zShYVOaVGcWXLwo4/VVZOgVch7UdUUd6PPWIDpU3N6qTIsLlrMZ56
s9WTsELG/xVZHsPxUeFjcOrmeWRud1TkRhypqjPcSUm5t0Vp7+p5ic+jPri7thye5pZkmaYSt+AF
5V2ZasaHk3bDeUlS90RcUnsw8zk70Ryed85ot092iR7Ab803zvDykpU2B/xYv0W/qaBnV/GNNaE/
HsC5XdA7kqOzTNPeYmC6kYrTkiKNjW6hh0QfHkVkleVelZa9iRly4WOhsZx2fbyht6EFpaUTmjb4
oVtLa2smeXTrYtkhH3X+TmqVQA7gvXlxzhWjqL2UAzHgrZyPTquWoB3V1Sgqyoou8diLxTcUqOmm
wQ68kUUCEaUGr2FTV25G4JPbTqCT592JUUPwuELSIo+VZHvGQNU0yV1C2taRuvHoFaUM87xQO5Yr
Z8tqPnPrnXILUgQpfH3LYcp/GKRm7zkK03GxJvlVZUJQSdt6dmGrZhcaOS1c506ciX/2QRhJwjki
zwmGrAg1nFZBZZgN5hQGHC7Tx0OX2UbYtjXQs57RL2SLHryW9dEsRIuB4wzWs4W5pFeD1R1ZSVzc
yZbbCAgukOi3tkaej+iANHBrVdpvssbXzqMt71KzMGFYFJfY9V4qX3R76uuGESOPP8PRXWno+3ik
35Ez/A7r/8vemSy5jaRb+lXKeg8ZHI7RrG8vOJPBmEMxaAMLhSIwT47Zn74/KFNVKeXtrFtmtxfd
VhuZZUoMMkjQ8Q/nfMeJ5yWNhx/l99YqSbp3XdW3iFIu5xrBhIKto4lrYcpAn2XJEl5KUa7GLubX
gzkPaX5txhOnsmOGh5hg+C2BAA5Fy3wa+aay7AE9B7aRM9IRiiyx4evgpUAqnKNvNzekb4Apamdr
Qwt5wRH9SHZxubP7aUurxZUsYNJ1A+Nnvg3mlRa9tQcPwRhFc9O1O3RntYCEBbEn7bd6cLM1QTxl
QKOjyyf2mYxNxnGECJeLB87OO2uOZn6jodtm7kjn5Y/4EmkHO4NdliZkgInARoTJeIp9QR1nl1/L
rgpu08jgg/SdfYP7gz261J99Yd94OiCWrhYWMRLmrmsdb2UrlZK7DLCSrBFvZmnlpQ9FGL/7orlq
tXWR+e4reMRdnb92otj3nf+hFpa96aOEKgUY2bYINk1arkWKnAY97kfdQanLjexL3BgxkhgYgotR
JrOqiqEK6x9Pp0G0KUtmAbEAn8apRdJ4eqNiDmh0Mcqd1jW+7+uiH6yTQU1fIzbNrdU40JQPzawW
8QyNFK6CVWDWDQzBqVSbuPOgy7sXNaFsWMTWbjoVFGJZ3u+Y4kQnblnOKtPCg58q5qbHe6bV3sbO
EazA7apjkjfhjc+pBtujFcopKI0b7AsTFXn3YKDTB0bjt0BkFMAXtZYiZtTm0iPMHB9Wjw3MDkRD
oAvvkRPWzBxI7jDPPSnIbLEmL+twbUEtUf3q+xD6v3tev3+vrl6L9/Z/Lj/4jeKCcy7u/tfP/wla
4PfnXfSlP/0Hprukm2/7dzXfvbd9zkN/A1Av//K/+pd/e//+U/7pJB53wl9P4rFU9OpXsOfyoH8M
4lH0BwACXCbtrJh+UD2dTyzySUL/SeBqfnLpBd1lLr7EBC8/53eBq3Q/maZtwTQQyA1kwHb+x+/9
u2joL2kM8hd5Pxtr2D4ABajGscPg8/h5uaWEi2W1ieKTdkyqTIw9LvtQOw0tvoCuPbyYCPiuDBQv
d0k9l1fLxHzV+IVJdkPQp1vhJeZ92mUaBLA1ZdcxACrs9UbJNM5T+ylI5AmbGqTtISH10PEn3BQV
LHluAhl1/hw78cWQj9XZjFgVrCorP2M2yW68asE7m0G8D73Q2yMBpXaPCgN4PqiXvU5idWQ14F72
7XLUQiww1rKfGVwXIzFNZMqOXzKywWAKebioZNzjzzKWyoGkwjsUG5hbEmOcjr35Nct09cpYwL/U
mQy/i006Csgx2o6sAnZZOLnXYzj5EZvkIDfXS77VcXH3HDJlGW8j4KMPr06Cawms94i3Wr1HkxU2
pCLV4iaJ6x5rp1QINuzxlGaeiZgeag5Jv6n1DqKXDtVJCYPEKUUfNUfuVWSW0UVba+MNAiE6RVxb
1pWhm/I4J83zAJiSVADLZcPvD5/juuvug6CbaDEMrb6SOxo9cypkqIQdak54j2nPKCtgt+2XRzpd
j/m5mUBSc4LMo3IX6rVBfNwDhRyfoOBwV+nL/GuedN0h0EnHcjhJ3rTZ5+fEVNeGjpxTprr6pEKt
L8iwHSB4e+3OI5/WQnOY0C2Yc28pPs8oe6brZaDGu9Tz00CugxmV+cUsvBDveOHyi04BN1kR9meR
OAYpema8x+KUP1SlHT9lXQK7CGqqpIRHgLUtgO8JBgGOieTQkhmhLVx7jKzt/rK3A92SCGRKDO1i
CHexxiKcRwzp12NbxoCdJB5aJ5jGj4QBIaXjJEsca3mr93UalzeJC0TZph04R6rSG0fPuOqUX1zW
GMrPAN8FjL1iZC7FXI37FGKw6BF/OoKKAI7g12YabRI5aoe6P6cTwuxeHHStI29D0Ucd5pfiShdO
cBuFc7wefWNLdCKN/TxsXOVcJXkwvJGZlR1NxfhoTBnab4a2J6O2jKcLrZn27tKgKz8HVRo+k0gb
GScm8w3LZcjq35gDtj3I57G/G8hyCbfDnImXDpQtRV3Z9LeiL5svajbRGtSjeM0Y9lCyzt1815Lh
5B9IXxvbFevh6pBYc0vCn4TTGHZk36z6UMhHOZjxRWPG9lcKfpM8DZuLdu0pUJwIxv0vqWd6l5kz
zSbU0yx4AIaNLGVm2bSkNuVDvgG1V5HUWhavThQHnxn9fzXMsd64tZIYtd353akVK65WiKrchn5Y
PqcRJcY6VwRB82GV6qXzaPFW7K3qox8iBmawxc6tY5F/XkJFUcGqW9iwAYjJxO+23IUbbH3K3vp5
rfEtsrnWQ98yMqqTjc0EHGdxRxpIJbyTY7YeUtqYsaZisr2v+p4TjVGItzaC2twPJFvdWVhA91Vi
ZtPGCLrQxkWmzBcri1Eh2xymg2XWhLaWRZLC/qvzYzSTmMswrIdIXMllA5/YvLFekT7hK26IwhVM
ujnMwv4YRuRPkgY01l8A6NaKTRT0OgyWiIYBfrbXdquMt8rxGPa3Ih1gA84GhwsSATAjaYBZ2raH
nUHI8xfsnuN7k8fjy2yX4lICt0NMMLb+vJIOIt11EMoG1lgQZhtCiZA7xmN4jPHiW2th1uQZtDUa
k2Bk0KuSdZFnzcYtvZNdz0R9lyU0XlIlwYYl4THNODYrYTf7ySweABn2+1ZBRVvCoJhdqER5KyOb
S5YWg7ttzEl/03g3i+0giImtZA8ToooHC5eun15Pi0W7v7Dzxi07FjVjnTxpI6K/mQGmZeazP2fM
uRnUSNF1xMvMbXodTuBbrSB1r0U6hjstcnXnEmp95wovuuFYnEClZfoI5uyROrW8a/CG3fWiDa2V
maTh40jeF6GVLP1WJbza0xJc+ujjIueQGvla+bgLb0yM/jcIwgBXknm5sIPtqwAP5ZoemxEo+zWO
be5266mYE1TOQc8w0mvgBLZFcZUGJi/XzYydaHOasBYbCV914N4roVr33AhePus5iyCDElGSQkZ9
b/vKPaZJNj5Qy/kNcmuqY6mNGal51Bf7zmiqM6jU8CogMvSejZN3jPjF3xjMY6GdlbMnrJjIuLDR
XwAXTliBG0MfIpHPlIszIxX2ttumIxI5Y/4zbPpE6Aur094xTmBVFmN6g8lKrZzGktdhxeKWQzYj
tUiHy9bCYqlSRRU5Z/ZiI+6rm0h7SHR4Px9UNYkzGVxQg23D26eNQitPeDgNrTWyWg90/C3siP9K
JrqzlWqmmucxO9Jo2UrdWplCLzYHwXEQffuowopEPeEMB75P7sxSuFIMqDz2CJjIhgRx12xuWN7H
dLPoBW9HaRasUFNJbjZSTtJSE4LCmty+ptMML7UXTMeWGyP+HGu8ImLqzayS4A3HjFWtnNZpnslZ
j7+YGEtI1jbqfSljgxyqgaOGy28xE9i5dNb4jLxdMqTZDZuQ8UvteSD+O+G+WFXiX1tzyTcvXg7N
McitZK/HEVaDUpZV3Zdz8JxYZcSJHftxfdG0TS/WZulbMYuFMXhJjDC7J82lbW5c1SbtQXpBw3rE
dTPyYFPRmGfLZZ7D8FiUZkNucZyQjQXqQJwrS8/3qok2UyDJ2pOx6+3qwPXWcUlSAPKg8VaTcpJe
dCpvC3LHjBgRq3SSVwtJJ5ljVmY6WzWy2WYs7y5tCHrOCbThvopgc/QnLlkL7Zo3lLAbX5tQv1D2
Tk+sbcu3dJisxwBNwINoovrUNMlDU3rztpBNcfSatl57PV5qr5ru3Fy/cAB+EDj1mnbui9eP/VdZ
tVQQNmHeq9bpX7wA/ZHr+flNI/LtaBfGmQ/HWjyy2NCzrvmQ2kGI2tVNRh/LND5hBJ1gYoWVeCud
ESUwo3xGU4irIjgiLlLwQlv6NgYwmrB/Gp3C+L/TF10mb6pqq4/u507oe5X/jzbp/6nuCXH0X3ZP
Vdm9lr+omL4/5vfmiUiETybmV+ZIC2oKc9/f+ye6pE+mzcRKuouLF5TRH1VMOLn4K4vkLYfgrT+o
mOxPEhE1tmaL1gcjo/hXuihb/iI3NR0X2zpMyMWRgWD6V8l0zXTJCinmrj2mtBQpRsEQb4yJ9XQa
N5sPXpXJknFRRFAcd8L6MrJQ8OY0xN/akP05bP4C+4Fvxs1E4nzDpAios/umlYV6pEx8m1VKPZ8r
ZsP5U6Lt5ly12vyWymgit7jPpn5lOsKblyJokPvEAICBwsJDCdQE2CFY5ajxUsH/3MZdhhYCwgLT
utkluxs821r0IWL92TibPZnIK1X7BJinpbY2TDi+DFTynNIxc6thAjY+p1A6sGowwpgla63ABwe5
JdeAwZjtxsllPlTjEYSydzBUr45DVaQMIJJyuh0aY2+lvbWprOBpJGt4Hxt5x9ojqpZXxW7zaXI4
DlhRsXedp3McCEDzy4JRCAaU2Hg3fZWnLEk8qXAhAQBg6cb8rF1rjkfNVNxlE7AydU/rZSXOCUBI
e0N8fepejOAP33hHsAQCsgjVg3ZrfeyU3Rr2haeiKdumSqxqm7CZeq/8Os631mSNl2QIkp2eLxNX
+vJyx3q8GMBG2HHcyUMKP7tqJkQI9dB7F5oBO7uqtaB6taYtGeU94tdVEKnJGo6iQCowQJQOgCZ1
3HHdwM+OkW94Xr2p4W28DOAM79p2nm5Y7hjTN6r6Ov0I2PF9zGRTL6FYZesU4h5ogdhx4HsVcfZ0
yc81uekLUT0YzsTKoyNm2cwbpbIwZqvRp8eEybfcqjy7pbBWWzOhegzjbLxuyRij+EmAvuSM/jcz
hhs4WEKc/DSrtlFk6h1h5Nk+q+JrkdTTXef2NmHJRm5hMIQ2jUC4w2TmU5avbcm7vbZSPzyQQcDM
MJezcywmU+04X9vXyqrzN6trhNwFWesyqW+W6AI/9FlQEbeKwoYMIHIDWRDbEvtfSg0tDnbZf4lT
e+jQb9vOjcE76NCE1dGXSNnmBRijYodMz9gP0kbmxdNdEhxR74UW021ZdWLZ9FBV2iL0GJL5kJEy
y8wuFoUFg1LCL6hy3fI4jCZtGKgYCqIut8+un+oTVRiTztQE6d1zZ1IS9ZiJZKDPoys3Ziix6W33
jH2pfY6nLPxCTRDsKkJl6Sqlvc0aErF64dWf01ZfOaXn3C5X9jURGuaGiQCSsEZc6pSGkpt2t/bZ
tgFrZ6/BO1CbH5WYzevKyaLnqE6wWDX2eK4GqAUtqUirOXGjfZoO2T5M8OEgWgD1BLBoX7squI9s
g8QO6A5nAhIftWVel2ia1x6r9HOmBweObUPXnbbjk9OQ/7pKs2lEWCGtl8KZERLh9q2i1Zib8s5F
Vk/0QCs/DM9n+dnxbuwynXZHAFRvJLsFKBIJjdgY/UxYGOYF+76W4xSzsx+qN9ufowdWsyjUQQ85
X9k1EnmLkI6fURtHEh+stZQ1M6ae6NcRl+cpmxDD+TBTtuGQTjtZRv5hcnB0jQSc+6seVN+ucyLB
hd53yYUIYkTOSzpJzvvz0E7NLZc163lrPgeEd66dLAwOBqmZsGBIHT35yiAROrBz/9vklvFNkPsJ
PMqq/MZsK9jkJqXPqi6g+W3nykZZbwoS1dO7rlD+EV3qRMTW7NwLA5zeCtedhaZDhuuxY9JtMqeY
Jwftm+c1UIxyihLw/fJLlUfgyuIeqeso8F5Mpuu8AJgINhL21F3F4GxNOzk+sfKEbizT6tLKayYd
gze9GVOJAseS3UfEGg0sdaO3VR63+8m25LOF1OxaC8ZRAxHsN3PpVDuRo3a1WJtcgHky7yGJ62wN
gyxrdlXVRtu2asxXv+7Vxp766g48IVC6GUT2Ok57Y2WD2/5gl2IeyqH0XiQdgbHRXFpbzZGzjkEx
uCvid8dNWXHy+yNjD88f3Eur0cTNOYaEIS6szxGW6Qt/dOJTFaia4o11SteYNIJzEM/vyYxgx0F/
lK4bK4w3rTnndDmC7XI4Ne5KENx51Gqe+7VtNe/EAZJxNlUBXaxVXSLYSvEiNuqsy2q8zT1jSyxB
cNkg8ktWCNvikIBcI7uMTdFs2CqlX/J2IEG4zetLr/YRPo6iRebgxsGdHUyMCn2yIKopTGD9hzbR
soRCX6uhzp4KKIZPkV+qG5Zt4WOdhbjZpgYJF1k4n4Wy521sVul+Zvi+DeeOHahbtvHG5rcF+d9Z
Zncscz2gavP6z0AQiFZJ7LbcGEQOrF0Hcy7zFfOmIV8HuxTzjVOJWxcKWTbOFw6zwwzsDfGEfmVL
3sdufLYntmbOgKQPCRv6VlRp+iQS4b5Z/HxjXYVlchN19ENuagZPs3bQkdmaG71fMtgjLL1NdsRm
uGePDKuH0BsQohqOYhEUhQwqNv44nfumUjvCafry3xiN/9pqQZoLDun/LPK/eh9ev/1cG//2kB+1
saA2lqRnQsr5Hc/8Y7cgFu/oD0m/xd7AI8GX8xlPFDlh/1gpOPyV4/pwhyiffXyn/0oxDJTmF0U/
U5TladDz49fFOLNYwf7gUYw7expKVctLL2y9x3m0HU5JYdDM69zczDFMTDZ/1ckVQSNY7zYosDTC
sNH1831vtc0ZTkZvPTuxzjAi5YpZIyI3JNR1g9y558vFBNIenrsMxlgXzcTs1bM1rYPBH6JV3aVs
Ft24hJ44zuKul231Ug7hcK1VEE6M1Mrlvq8V1rqGlIpdgvjp4CkyqXuVwV/0mGrt3YCXuKrjdMrw
r1ac0AC7pht7nj13F08kaR2Aqut+M2Up6NA+B8+FPiD71nhGc51EzlCwPy2m65B8dNaxKPjNTVEX
OJ3AZGbesZqVTUklsDHuWePyt7JFAHcixXwmtspp5mMEiRJXXjFPxIDxAvHEhhrgKeLwQt5aaDVu
AzuN7nSaDddNDpQ/Zc++GeOCL3XYViw8RuUdlqDLZg3yVEfMVjoi0Pw+46SxFTrnS5lZnwHmdJ6u
ydYyq645hMJJeoxYFqqQPXD9LNp5CoYIFv60UKW5zkoc9NLTRSnWHP3G0W5FhRmpjho0j6lr+2WZ
bRP80vn01Na53co78hAhjdBDoQ12knCYAEkMdhBuCRxQAXkCKKR2NVFUEXhI9joRIts4DamPZmPH
3ViA73PaTlLtUxqQFNqaxhBvosYEinkw21GE4IGRRmwaux2WC4csc000BiFPEwAApAlAVIZT1/V9
bV4JIr07icuhbYcRgx8YWpwizxGNjKVfpiSfS/WtG5uuYPGaaZ2Ht9+/xf/dW9L//6YBkp3jXx94
498Or0VNsoR6/8nZ9Nsjfz/3vO870n8AgH4w7q1PjkP+BamFLDR/4wn9OAKdT5I2HSAtNDNsuksX
//tWlaRjso/551ilBC28Kf+VI/BPJm02upJphb0cqT4Gq58PQLQTEwl3XH7Z0hBLTakKlubxD2/K
f8J/+JMrcXkSuBbwl/k9SXf++UmAmxp1EPhkgmdWs5q8Vm9ib/DWhIB1279+qj9hH3gqm7fFA2rh
mWDpfn6qChJyk0ZSH6YhwcucJ3RMFsocsB9sHKOkOxQo/nBjOvYKhXX1T57+T28nehHCAhjKCsGH
9uv9BAW774yuRRhQOT5Yhffkk1j017/hn93JPIWzgEKYIwEK+cWEppQx92YomoMjxofJkY90n9W6
t1hIm7rhKv37/fs/+eSk/8vSHe62YIXvM5OyUVsE5jJO+sMdEhSmjcOsbQ/2KJtTlBW41EmJK3Cv
hwXgJPuz/Z2Taf/GzJQo4mCbBbA0i+9czRb55MqzIhHAQ2R4gGAWBudQDQF6pe9szvY7p9NqBMzO
go2QYrNwRMwlv1rpuI+GtiNzy2cxqjrTekR+Va+JRuwL0mhJr4qbnj4kxgfam/P0ODMpOdNgjtFK
Wp6iim2C4sEliOgpmb2K/SD5eWFUOddOV2Z3rsPwa7ARvPYRITH9UIpVVAQhi8++YaLvNLuh1/qI
dPASddiwk0XxYXv5XZXYbwxWbjuWwoxW/OJUm9OXCD4yT5ESwOzwMwsMfhsyo5t91izk5VJsnDYd
3+m2G/yt8XVNwgQTCaYbtlX027Ea3asJKTj5ZG544p726BkiPKVxAlKgxaqSDMM7fUEA9LklQVqk
KSGZTfTQuZiyej9bm8EQbTxgrIjNw+FAKmO4Tc0pvmQKs+5JN4ZRjQ3NiUw329L6dPM6GucoOHZo
qybshV7w0HiQR2KKr7XlJ965NtMUy2MtGOCUk1LuZ7v0jKc4G9R1WeFZg6w+WQ+VyJgUqaQ/UEWy
5VaqK1ZWg2QiLBp1WeWM5K2yyXZsB7hEiob1TAVGKh1Lwdq3t3ZDkpuPRGPDxRyYUBlxYvUvfWLi
x1qbM1527UUPSUwDWSZAQ0O3sDdx4+JfAO0UHDVI2nMYxuq21jQ7hWrPIW7BF6KuugcbsfcBXZW4
FJN0D0XJtcBaINn1XTnty0K+xLT4jBkTRLkpTDEAf0lwayJH2IO4V5c6MqqbBZZssd2+JN+yblhJ
5+aOPPfmpXKdCNi1W0NqnZxkrwK7vyCWi4gIHbs3CXqDMJRVwWbaE6tARCTqZTFrKOdpGqKTXYRL
nTne1nP2mdkZzcyQAoxFSX5B5lG2SuKBdrpn8WGEo9hbkoUQ2878MKPUPTp121zMRGXnKzNyquti
5r7BFc2weWUg9LyVYTO/tgbijZwvzXmIUuOii1xrLyf82m5uQDNPizJDPtJ4m8ZseLYokwjPAqIn
ke1PuO3qeD5Nhh+++JjDAROBqY/CcLyYGHewDelp1gIj3reDGfLdZyVBOAj2wLCf1oWT0fi6+XjS
VizOy1pnF6Zu8Fghd6dPTMqN68Wv6FmeAoE8J+o68y5hJ3+wBvkFs+XZ8PPonqRyVo4e7zS64VNn
V8TJhZla4ecEAzYOGUpRgVlGp5dG2yAARpaxKRv9LYl8nImxmc0rP4yGY8gKcisM8xa99A4gRnRI
DTIXKzQGew0nmdw6t/msCJdnRdeOxqbGuL+DzCZf2yHHLxPX7raddnDd5YPj1MGCEyJitfSG9qY3
askiyvSPSTFK9PUxSVwDQ+c4RiiJ2rDWV2GedURfhvX8uRJ+fuZA0mQ1BdTFlvOiKjQNFhyY1Ug3
vc7rEJGLGZ9p4vcxNwAESgwqifIugB4UorxqC/+YD9bnrCBw0woF4gmyyYB3M/lg0rwJM8O/jMLs
PUS8wh613Xq9Zb/2pl3TD8jhuraRI0Jz57vHkeBeJ3M6nQNX5EeA/erATirbVKMen6HxSYZ+imc2
ybODeeLyBUJzPS1TXyN/EoCVaci1fSt16pIyxo5B5EXarionl6hM4m7rEv7G98SdvtEwsFmFH8Db
XK4zoukeHXjdhzkgunDdqHzxWE82HQGnR+43NF3as8+5TMaGFaoerovWNw5I26EJNt6bJySr7AEK
+aYJnRTBqO895O0k9iUuA2RfNlidYU4OVmYjr3WD+EDULljaqXcODnqMazcRsH2NKPriO1swtfM+
n2Pe/iGePgtOro1lk3/Km5Q/SJ90OwCPJHMaXWbd2427dceieOoIT/4yDRDlXeXqp7aUG8D9GIHT
WqmrXtQdnpGUKw9ByAG1GNxpl4vMkdVHmbUWI1GV7YilbY+wq8fjkErOjN8Q04hJF+C0tcCnv9/q
/13k/zPBpGTE8IeqaJFk/i61XDSf//E/rt7Hv53eVfs+/1zhf3/YjwpffoIU41J72uzVvqMGfkw2
PIcqnwPNQwhpIo+kOP5R5As2ewwgFmAuHFsGI38v8qVPMtaSVcPfAGcz/7U5B50BVdofyAXUbQ7Y
4IWEBh4E2NsvRaPVKG5xaH8PwWCQ6Fkq2W2JaFPZBRETzgXbh2a4j5yWCHAzifvjkJTdbVwbQ7HP
0PxmqNgHbGsAEMifDHsg070CHllPERMHyOFwQ1sTEToMsyhgJKrRRRCnIMgtRHsYPkxW6TzztX/N
EaRF/KiHge/nPWAYfduq4AFZGvr8koZgVbl52K5YECLron667BnKwO9ijXfX4l5hT96Zz0GG5gSw
fmLdleWYnVrF4gbOGuHANQ8cXQaquCWnK1jbSL0NIe5CbRm4243go7UUpqG6kuA/Bmhlx2hgVrAi
7Zas8wHboB7bgOSONkWQzBuVaVDdyou/8vkna4MMHFKNxaCOUEm1v6clCKp1WvRHjSNgDSCBB7bO
iLrQKhd9vVsERfA0pLqJ1mXum89eQWq7Ww/B2rECaA0Ii8jjalk+GvDStfDHcYVpcgZo1QXrMUFp
tIq7QGGqShIG/GNLg6NSnxqYqA7jpe+lc4+Ylf7f7aU4K78NzP3oiPxxznJsG0PUi2dFqlSyyiaT
n5YX8XTt17nxoeMxWE+ygZMVT/E3g8MS7qTv77+/vnZ5VVzZClMufx4tDAXlqmRTtPZc5EY7U/Xl
vu+hOlZ+rakfeZPRanXbEr0aOe5dYnHbQiUXr/ouy8azy7A8PoS5yPTBbaFu7mLHw4Qh9VJupAyN
gAUACtN2dRyUzV0SDz5HZRJZzzWAA3cn6tnHNpfZ9JNdwbWAb/OU9m274dlxLLatkyBvA0XBRit/
VIbM72MUes9NHbdnH8PiQ6oHgith87gbClF5QvkVXYQN+s10xjKfB7NzQcuaLHQuvBjoi6By4Uxd
p9oxto4G1LR3iLNbsc5g7Qf8wF082IhBynHe+2Av93luyY/RxQxOxHdRVCsh9cQMyEITtQtSs4uv
srziZ0G1qXduhVkQdhmzQlQ9g6o8yP1I2e7CIpgvEz1moIiyZKM7M7ws3CKBZxGN/l4sHB+Vx/IR
nHS2L/zJqFC8LG7FqUsKf58Js73vKvvZ6XJsXY75xDxsJjNgaJbdGX5HvWUzd1lEoe7WrXDdXeJr
OAMeO35yKQn6DBnFokjxFX6hvLppYUzdtoZ0d+M8kw6e2OLURyWrfSyl2wJDwOIm7bYW6NZTbDdZ
zuJylOsxd+RnNsgEKxQzDs1QAQIYEfKu7Jb9bWmVCRcVkqVd2Q3T1qo6HIAwnDT44NbAQynbS9RR
6Ox8mV2UxujcsEnDJxwPhD+bXgueCwEZmRm+EVAiBE3Sb8bJ9J4HVLWXoRDR26zSlFF4dVQzH72u
g2xTQnsesQFWuHDnVLrl2uQxrxqCG7VQCnD9EFVFc99gmEjRWIt428cDhAsjK/XnyZlN0mua+Gqg
SThps64eDdeZ91bjkTNCxncFF4PoOGNbgp+vVwPkJ6xhJQEOfYktbuSgEKs+H83N4LrzxQgm8zae
dPsU8PvLI1PUKT3WReW1G1dH6tQTaEz/6/bA1kYq8VVBZcPv3/RQtWKvEmuvrNVa5Vb84Hqswumy
2S9aqkgvwHghJoLBjOI5tbA8S7du1+TyTPvYjMr1OBewhM2GfJTZQhveeFcVsVUPpMFy+PdWrHfB
OKU4CMu8Q6zla8WAlt29x3KT+pDDHAEWp1ILpfLl+8kCny/8CKYC2GbFN9RivY2CfPkW1S6H1oTg
8VGNgJtcA205MlRMeOy/uMOoyi33U8TxTBqEZfN1GK07RHQ8ERvTaQOmhlcCfVpfjubIdioejaC8
4m4/X2F8rOZNVeluizhcXypfOL9x2/5dLv3Tcgk3x1+WS5Xq4r+tX1WVJ78Ipah2eOiPksn5ZDvU
OLgolyEoVpO/C6V8JE9g1tkkAlBCoSSZSv5eM+Ep4eYj5MLJkxYP41E/7CbyE/9UILySAVX3orz6
F+wmDAt/rZkYfLEWYilk+QKm+rI7+sPky1t2+egL0wNBz+SViSCLvY1uI9KirEERydQNtVlBG/Ji
PN14zuwjhxhZG67moltbIz6qHYd+kW0rp4qag5FXAsZBDVDOXJmxbL8VieOf5zC2jzWKjys6JILh
7F7gHbCYKuDdlpRigq5xJP2EgzSnZCkwv54DfB0vZevXL7WpQ7UFcEJUCKMU/yxiWjucVOKKugPO
Q1VGrgspkCXM3sq9WG3bzFgeIsMCQ3iazDdW0wWPVA488chZhaiw9ae7CIv6Y5GI6U7hCjyGWUHX
J+vJUyTMlTD9KkdV/skNvPZb65sCnkhBAIOIoWWLcsGvYsWebgjnkT2oFZqyVQ3shlw9K1IHU0jx
QO3rvHoWPNeqMvqDHGL5WY/QA0tJhlMrTdRCuMfEVWTBl0M4FIWPqbvQ0ZFlLnKhIIVrVKPT+ZYq
ON6r0iZqPWFL/sLMwxxWk1T8M3sS1UVROc7rHC2RKn3EC2B+yqsdoQXcmDJitx7GzPJ6SaQod/SJ
39rOeE4/k/VLnpr87sTLkLfSj6a8cm1M62XsxVcyw2nhD6FYqTEBfhAmw1FWAdpOSB5LTvvyfuJP
JT6xmArD3XBd839++0BzM8owTJIu9Wj1yyfMIGy64SNt22cY3mjKRsKOBZs7BqIbs8WuemsA1CaE
Gz8k+t8h5k+/hWS8dvKe9wULBq8xngwsmeOMmAbpjBctYVNAgg/1MiF44s5ry11eaIoFNkofcYjc
b2UOZfA45+Ndp1tnN5cx0BL4XeCwOGlvPRZg9gp3PzRPUVgPpc0FiOt7uWoLLvQMaEG4m+uIn6RD
iz+9mMhXXgkXUWeyj4zpcRkFdwNXg6VaPtlAdp7cUmxJfKKity9zz+uAkEQtF59BOOgmBAC4RAXW
3TcPGky0NbtaXMVjw5cQFTQfcFWDbANCELXUaTAn51OJdTZZZwH3rO3AJYoWg6/luUJBbB++pz4a
KYIUJCOS153onki9At8UhBRIJ+BZ2Pf8b/bOZElu5My6r9L270GDY3LHojcRiDEj54nkBkZWkphH
x/z0fZAs6q9iS9WqvWSmMpNYyYwBcHzDveduQtHrt2lafVXlYvDdDet1MrNp/dSvX5GysaUWbl9/
UkLzl6GVSA5AcP0dWv/kMA+DDxxf1J9w/4Yv75dwYkg+34xMwmq92Vcpx6fQG6aH0e75SEbCa+6m
iFsBcS/r0zhlHmd5jv9iWz4fXFfVtr2tc8UF00uTnDK0y1wB6y1BCZkccDLx4YFF4cs2OTgSkTSf
wNEAunfrgjFf74knB5MNCavmAJNKkwG2SRvAl3kruTm9akYkw8wXo787DkxVC96OSVBioie+0Aa1
PveDaXKBwRAm4iADAQNvwhFPA2ETh5lEBGvDOsE+EUfoX8Yq9y9LA0Ji0yUzf0MFVgn2h6FaQAFS
x/Zd2gx4jYwWBSFP+MUPzLyWR4+owj1oL//iNpMR2EihWrz1Ge/XBg8/7hfiNOMd3CHuMEobXtBi
c2IVFoqwh1lPqFbT3t8lM7GUNqqwh/eUMVVmRCkWxOAka3iUc0LTj8W948gwWak8dW7d8wmCCXuo
udAxnsVZ8ykzwwYSq45ItIitJ2lzzRPBg1tDxSRgPmqyapzj1HNE2gtveMrWkEbDxwUQ5JYhnkIT
0/E5qiSsObss8vhchCm2c5MMuJ6ACjLhRr6lPAmdLzqxOJpFOHNNUXhzgc/ewtfaamJ7THT44AJK
IZ4amMFPIMBGJH4tIJ9NYVZcL0J3JFWUXKUjHbm3KRDq3SSVL56KggklQ15A/rvBX68cuBXVjOK0
5a+3GDa9RRn6tiR2uboJv3lCm+q/QPIQ6ZWD2uqIIBADyfs171iIg7Zmx3uGW7Fe/zB/xU2fDP6L
S+vO+zTXY28YRdOho3WzaW+SIZizw+5UQL+yXo/+TKRl3Sj/xbAXvsgfR1qqRVIEtRy5lNxQtf0p
VRrnABv4sd3V9PJ3jsfdlecZs0yosqFp59P+/Y4rBuW8jGU3Abdu3Dbev5+sVRUL7zDGqnkRCfCC
l5GgjezVHW3OidxZTykxjETcxZ37xUfsukt78l1FTOSGiso3nGz+qa3r9WHQmOvDOYw4gf2cwL9x
cTnIcuqHfqtogckyA/AtYtwT8Xzk+CH8IyCklBJiE0E8IYKiWvyrotQduRsynEhrY9GQ3y9pjr0y
oVvfAj+JXniUkiPV0SudIU5y12T9xFnLPYlhmyOGgM7RctMtGjLvrSqLlyoS7RnRSG+Omxn9E3WI
3T5ZjjpV/vogAg2WPyVzVEOQ6tWdKKUZcu8O9r5taGcaQViZa9rVFf7lCFpiFD8nsnHzzVyGn5vO
2hlW1aBkIOS37eTWlCn3wKYvRGGMx66bTzruawBjPrPhO/x21Rab5ysevn3NemJvMDy5q51hkxZQ
0RD+mK+zl9cGzwlsleEJjW/BqYoaGu4uvZmNrIasXwxeWDwXWHCabg9gnpNCk7aKo8CcEaNDq+Gd
OZm9z0pr8MEJLnvMTiNEnTgDeCTHeYBCx+piP3uwUo4+l2W7jfDBE8EnY58sMme5VVMnzzr1ecwR
xbi6emoaq1E84wOrrg30cLfJkqmztEKuXuFQlMQKpbFKa1qperJQocr+CtyMeS3tCM+sNtzpC+lQ
6fMsi2cnhZlzyRvt3DcZdDuj06MCTt/6ezXYw3c9t/5X7MiMwUcfNhAX2a4B9hUoGlVAXql/NIdm
COapgwulSB/dOg7eZfRC6bVq43S+5vPy3tJOlfuFzGae44m5i5Lx2V8hnlmCv1mG42eCWLduksqv
UTPND7E7l4EA9bO3M8k4r3Pbe23ysUJ89HbuVEy/pb31ZGCGRCyq9bVK4uW+WGZ3W8m+2FcQdA6h
P7Aj9KHxR41+avyejWrrURntdNFU190SckSB1NnCDK13EXXDuS9acbbwBB5dv9KnzO+dS2XDIuVD
KxlHNDSGHtOgqWnUzgBBBQ3DM9jhF9mdgyuN2J+zsWTilocAdioHmASadO+UY3q8jyDc2CWIe8vQ
7UGtTwh7BoY4RXAD3YwvDLai8UkjFAiYx/vomN37PoF42BGV95AxV7tUc949I6Y3LnNBBBKEM8nP
jdSuX7shZ2UWorw5d1PZgHTpqo8p5TvlXY9xnOvbyp6sNlRHuGbGjYnrdMuTVwaZcoiahlSUVlmB
XFjKL0DXP07GOiIhWImteNvqvQHQE4asHFHvLl1/MMMs3rrk4xKNmETBwiobXGjcnYbSfavjyNlZ
nRi3ojbz9bQSpxm995ewhe9ANI6ePlIR76iuWyrBxCyDmfzHXcdW/ylsOFE4+VsSoirBRCOxJOok
fA5A+uZAW6x33BEu2wXtL2vL2iY7tucgUS2fXeeaD5DRcrGL3LzFeiuhxqQPSSgweIi0WB0Iix6i
Nw7/aB+nVhMsStSo8AdYUVEcIhGoIjs8dF5scDC1iXdU5Da+GKxAFI+90PIYO4k4gBhCBxI3O0lm
/HWiuS8S1PYvkK3y0+Lh34Y/lu0xGy/MZkz+ZyqRh6JTex6jCYa7IJHXMc7YtSn8OEgLzHKAg6NL
1BQ3jI/06wqVvEIjfe1lJchBqoHHoreYLY7aawkC8sPunDXNDG7Oq3vzVGTM/M5GIxYLGKWd+nvb
t/tm3KXCoHKCo2QjB+v8kWoWrQNw/6RSn8Im51AP03SsZ47v2fTxxyJvZi2WpoQ4ba0chiv5uPiL
GaxjWrE/oVvnqbuSW0mMSpSNvm0M3QJLc8v/z0Z0EYHpFp3i6rH8duf21KDo+am2ylFTiHiDw7Mp
aep8PptimR5mi9xeatF8SwQ1ZTlL2/qHfewHs+KfyUZ+0VVC66Cfx7TkeYqJ3irT/HPvPJg1oapN
fKw9tNQ8+SgFeyI30PhB009sXT7iV1HOaa54igZEAejsPDjW8NA7g69xi47+C0Jjind0JzymRUdV
bSTUdJGzUE0kEUFMeUjq/aZdW8/SJ3QVTHxI85bJdgKww5zi7UeNzB52euiXtSkpZ+wgcZjALGIg
Dwecx8oXMPOwyhcyRLINiDwKsj8MQP7Jx2H9r/WL8CR7F0/Qxjge6Qt//jhiYTTJPEjjYMcuX4lV
LWV8Vv1aeZUTr57r0L9ABB2Mx9Ja6OWmIuZlzUm/PE6+x6cV2djDt+5CWkiKRpFv27H454TJJwLQ
S4VrW9hgNiMsJaTPI8nlxwrvcbElGm2IdhG8t+MyF/x218roJbF6sYRV1Cdvf/1mV+DHn3dNwl1z
byQ0bmS8Qv4iwRr8KDFs9vUALgfWKv489cQPeERIbVrXx9he1gUOkkk3X1Czzg9Nx4ShienAk2pq
HwoEoP/HK/pnVyO6Y9uzHWmzTPvlFRkuxuGepz07E1ZGED8IgO8YJL1oBjN8CESd88lZln5zhLRP
9UBXUI5wfg+i5UG61bpeOyfakb9+YevX/qetHPl/zL8s5kyWZNr0y2WBHCfHPpOkx7CCBhUUFSup
18VZev3RmZelgXXoU7RXJYt5or8yatS/fgH/5LsCuS64XRF32bwKNpB/nHGNMREei9VFR3fyUbOG
pY6SoPdFaN0IQ8cRPVlYHxI7iSOA1uFSMrbV4U1UduJJmb24Qa5D8/XXr+qffCzsSwG80N2iOvv1
AirtPmQa70TH0lhTsieKZDJ44CvTuJDNx0qJBqEvFnoIY4jqT3/929/Ppl++FX69t/6XThXgzJ8/
k3KWWV8OCJDdOWdigFV5ZsOvG1WkfCFE+OBitkdlP2UyNE5i7VJLQiMYrztNbd063sxMekPIchQf
u3XQVDdRmZIA79Lqlzb1yPsL/s8k+v+aRDuu95eT6FvQNVX5p6X9jx/5hx3B+8BpDKqHUDIOh/X+
+12aKyznAwkapGoSRqBM/q1/TKAd7wMdB5BTeAk/F/o/pbniA6ExXLFcOg7Hven/nQm0bf0i9TTh
ixIz7VrcCZh1zdUi8ce7M9P9ko29n9ylmU+NATfLnBrWSZl364e149w7XtNqojDMskVf5jMT34xD
4m2zEFPrdNO8S9gldr6NhvnQ2Q/xD527y5MmI/6O0cE6js6O0QI59K7LG/OtMGv2KRtyRBO1bUWs
UBT1oqIrqGIrU8Oh8h32fHGTnou0FN/tiLDjDT5/9dWweFJPnorOMnOaTVVFPMk61JKYxcJDtECo
sWESgVJIKig8ttf3m4bxDfE2ec12e7Ed41maxlfCvuKgWLWZbGsllsUhOYF+TJmtOMlJDm7/eaQz
2TkmQ71NW3rxQwsmAxdWNc13KDZDH3vqWLQ7u+YdbxTJfmqnm7wOfDPGo8GWEfACibzR6H1NxqF7
1sh10hsXWn7AJF3eJq2JlnPGLcuMAMTsljjrlavtTz4EDJN51qN0u64M+Cbmj+FMhqCB+LKH+hNG
j9KxQ59kuxnq7szLPyVeGF8t40Q5niTCPXjOZJ6i0h7I7MmQPplUzOTaUwvTEOO6fp3biT4Ve5ne
KjmQQKNLlg2Gi/EN+OyibhVIqh5s8kpvSZcE3ocEMLoEqat1+06l+9Rha0R82HJlba1sKKbAz+Mp
AIAAOtGktsL6HX+Xbe7s4oiUK504RDtFthe46/K0r2J53ywOM4qSepI4xa66z7yiPeMtRP9VNOLe
cP1xVw6Fdw4dCf6xbV3vbcRYHkzcNDcAveDtxXNVxFizZl+JfUPU5AVPJT2rWfamrM9osUZVE+LO
PkPt1tYBhvIQl/WdkzUxaagQ75yNaTO8KDfwd9eKnJiCC7vikraFcYtSGDoEtN6ggOFh3/ca1j6x
VYN8LOoyYVZskJLxkreDRNVb4WKdYx+pOxxORv4Q1tftqgXn55xWYetf0HHGb0UDy4ZqS2aSiJoZ
bsPgUnaukYzVjTag6A9lF195YTl+sYoVtpfpsd/NdVnMpymCFgYI1CrbjZF7ZkyeA5mfzB8csM2d
mDsc2WhKu6PZFnJfRklyh+BRABhuBlbRVRsW3NmhovW26xn4I54aJJZ1SHVyWZakbwILPu+2ivk2
g3pYLd5mabTElBmlH915JQO3bUtPKq+npRhvcu2ah5YxRRBHZOdyxTkGggbMhAEhscmNUVX5gHsl
zGOaEtOjHsnV+NFKdHXogHihUjX1A5iXdLmnyf8NWnTJPYV7H58SLj/3pqtsvey7Ji66fdTP1ccJ
9pizUXTpT8uirOrghHVbkjWAEwhlKVjpIyfRjHDOn6qT5XrUwwnCCe+Qm7G1RgCFzFSruv2On/DZ
7T11sRNXL49DZg31ccxiwSqfvPtA1Ya4srU2CcpMrXuH6q2E3OmnxS6NOM3cHopJNjfpYZlsdQZI
DmxNjcY0XSYxVleSjmQJ+E3ZQalQ73IRhQZA41xU+6heSE5aHPuejFQTCXgf5wGZg9YVG2p/Z6uU
ysRI1hG7E0/iqV7wmjOTtPieMydKv7aNTL+g+DCe7TYfPmlzGtpdWzkO95ozDagMFpuptGd0pzaK
WLrQZ+sdPu2oveJfcGinjXX4yDa1npmBKSqfMxgA1yq2M0KX2tyk4NYZcSCz2VraQ3brem2EM32o
hyNYf7vahV0xIo1kWcOepSprwphVCbVMzKjMWQK9Utpg8f8x6fdL0zp6apT3HhkhAeFac9BZMaJ1
n7EhGxHGgYiGYdWt6cwPZaidm7wgwWBTtLIQ12NbVde042QDqKayPzbd9JHNBgO6zkvo90QS5rQw
g9npTY9Rur/GbgZobBb6oQBp2W6x5k7RvZiGsGW45pDUMR8LW3aSkaeDpjk8M0wb1Y2jMrH/Tz31
75AjKXXXRKN/2EP+lxDyser/xWb/9x/9udlXH1z+KrLT4Zz8iSCp7A9UNC7bJ7K2fvzJz72++8Fi
ToAuHTeS86cYJxs7KPYkF8UWjihrlUn+jb0+Aspfuy6Jb8OkPkMUTAST+UtV1aOgK9s0qbAISTGS
Z5PZJEmXiX+IS1IbvRJqwLaMUnUPEJLmxkrK5Gb0APYPeaxQAto9q5cwsV89Hc93KLfKx0F74WeM
Sexu6Q1qRn+Le4QPR7GPpca9StaIXeSRnJXjxCMUFO2EJDoGimRfqFAQg4kK/niOFezcL03e7Bo/
iWBpERokWJ57PLeXIYUtXvTsHqQ/O/vM0M5tLNLpLotDB8z+NBg7szFsUIewm2CzuiVeUDu24tMw
acRH1YzNHZtEve0sjta+sO3zuCj7RPKdWcI1b4BocptBpi3C7hu/BQ5aC6JcbMMejsJG1Q3iIenl
84+17RQSP7slz4SwJwiVZGmT4yJ3zHKL7wlf+NGl6+FZ5LInFEsSvi2e2zSbjGnyK8RIyd/LK3t1
ale/lqOZPfiZOd2FUxLfjn1YPtVaVbcd6s75Csd65AYOUzmqsFgqti5FLkKeYw3CoQVEwj3I2nnX
EADIwFiEYbHWDCF8xHSSgNuX+rOIlLoLc6ZRG/L4TBGQ6AF9g51PtZeqQHYKPWyqi/oWnLJ/5+L7
iy+p47tHzee3H6rGvxAV0RyWOF6nor61n+IBFQVO+OqRlYS6N9jNkDQLbcKflYvbjPUqOYFsAauM
RSqhHGcDPMuJyJrqNmsbRj6LU8w7T6aCQ30cAd5nvUO+ooXpHQstmS897BG4j81X3J/NpxYpx2tt
zjz8feLLvS0xMfpNGIXaocxBiajG2b+fKGFg1Dj+IzmDEUFKC120P7UQ7V08FYSwayYfHOLMvWNj
/AKlX22JSvIvdW3LaN/PJk/8KS2TYyibbjkh8iQQNwl742Ixwx1ZWMuCPR8DVkbqCPM6EJ2ZC1x9
rPsHTN1udontiaWPMoS9Ea3nPZdidq7jH+NNKldmnbAy1sGn9z4FjXB8MBI1fh+Qvk9L5/fJabMO
UY33eSrWC2ar2fuclSC5deiqpFL7qH0fxoYVpqZz9z6lzd8ntlatmdW6/GfN42KoC2PVeJxHKDxW
Fl7LohiuknUIHDMNDtexMIh+JsTpj3Gx9WN4HBWmhNOyDpVd20zQDazc0HXkHK7DZ3MdQ3e2mZ+g
SIwvSWeR/uHH1TVL9manmWCn6yg7yWum2jK1BOh5rqEXzyMR4sjtbRARwjC8alvm4j1juXprruNy
uJ8ADNcROjmbmml6yWs4zmbClH3orT6Yu2m6MqB3nIB1EAvilw/Voi5dqgEcDkJvfVVN5zEBnS3x
Cu8c2JjA46cDNZXx5i6cNHnYbiEwHCYlwEAkFC4zJusbdvKPaEHwk0XjAXmx+yLaVQjc07YBGq1u
R2U+wJmyEKwSZ2xoFiORQ67IkMNwVox+9wyUtjp1yyuzrPW3dJY35mKFn/A3jMdpbPLH0iOgNB0q
vcUzsYCl0yS+9KG9b9bR7pjEkES95SZpFEYMx+y2MfTGPRw/Fq0GPyXIdIYu0VY1+5XlUwWOHXqQ
vF3q9robsxDYfkziPGqiQxPSJafoDK/bNhxvPQ3RneL2q89pe6DFULsknMM9Y+N0W4YucESBkXOp
CKTMhwFeJVKoK5DVKIBk9LlKLB1Egu4wk2zRQCZC6e6q9hU72Hg0i6h7ThnwcmGMxiFqp+996+WH
mVXdrmsZwA/CCj8TF4NHfloFYF7qFGQX4Pc99R6Jr0e7cNyrErXS3vehvmBYZztf95lzVoCMtpNh
yPu+jklyWng0pYVODp3rFFwV3iKh1Dcl+b7ZkqQ71STdAw16+OI3LresW4RAVMiRQUjWfCXaqKIB
x+j/sWYJtRf9AGcpsdS+QExwqAB/fKpx27/6bWSgeUPaVpHldwPqr7qam7GlLivUvc0fXGtvMm61
il4kE21zCzSh3xMw5920mJJA80xdJs7ulEYXPyuUT8454+C8S0g7zCySPzcN5WHgjAWkWuxd28ES
9o2Np29DyTvRSdHMHSDOq4OsZQbiPMrZDkVMEYzeeOlqU79yxZVEr/VjfWXa7YMXptX9hGz6xk4B
CSjccl6fcxk4aNcnS28nETtHi33dZtCOQTch02+2dopvLClXuKjN5nLowhHuE5O9cyl5Ym/TuXGD
tTR+rmA1P8R+Bo9H9dGu9ht1aULrs+H335OkjD56loc9aoZEoB33uXRcg5WoRpBrZ8NmQMvOrdSE
z1HrHCY7/Rx6PTE7jXuAGtUhpEJoT9/7cR5mP+jyygqkhH8M1XQz2OYJyX62A61Sf4tgoKB/MqrA
Yh11HKy+rIiPmR1y8UJxl7PG2tGeZvel8G7KqCsvGB/6XdFZ0FwsZiHddozbsd5pUSw30dyFu7rQ
b8DAnoiOoJSiviBRG8GyPbDYQ8YTQL7AzQ2VndWY26zFDPEfHcm8G5JV7F1chvAYs+zJsLwKCU9j
fo4tyVYiUfJbK9qHfhDfsYYCQiSKyzfkpxIZRdC4CImmzJRnfw4XzKdAwqSNwzIizxWx/Hkss5Cz
s653A27SQEUDULNpLk72UJ+QY9MueOI5GeeMZLEGPVfiib1oNXHRJOAAyE8P7ZDX56qbHp0l1ntQ
+uUmH1Z7bLq8oQdwtp3dV4/0+QNRUAufdVjYcwBmYdi5HoLuudTFHvZQsWkN9VuIMwExQvjJbFz7
lnkVizXl3jei47pyfyusgvREZvqQk5P6Cg5UddU31jdZjDgDBMpJhhwBBKka0aQej6pGwk6QoLNL
GgYBg/LiAxWLfBCAi4M4H9M9reR0a5UyvAMtem750mHKodwhU20mvpEVFpeoUBFTjgnEtUjFjV2n
z/hbvIdwivtDPSYu8BAyOh/6uMe8QpyvhGzkelG1cXikX4xGe8i4l5cOpdJabBK4cFvJLto6o39l
1dV3ZiHHxiryTWyYt+Gob5ccdnXcMXTQxCfWxec298vNoqenUfd3tehuO0IAqdZYqHgLzsEOMQJ8
pIwasI8A9XGbuwrALEa4xMXATOTrpUyVunhFU7JBajfWLLEWszVfAESV2X8k3f8W18e2TQvx879u
/J6+reG9+hvwgB9/4entv//f7z/1e8+nxAdk3CyxkGCTs/tzju6bH6Ag2HKVUDMV55//mKOj5GY5
DHECPeDqcFv13zx1upi/2vngK3udsPvovP9ucAA7vl86PmX5eFUJaId7aQKa+GXPJufWNuLRLU/G
QIVbH0hdjNJhB15sxF5UUGcRaSSt8dKtkodCN4SOrzIIpJXy2BQOoXduSCIbbau40at0ggMq23mr
nCKKPJz1Y8sEJ/Kmj8WEaCWYbdf+4q9iDGuVZfS+S1m/SjUAH771ZY14w0ZP6PKACLxV2iFWkQcC
hh7lqGnS3tloQBZ/0nuSNNBnlgqNSMpIzUEvh7hbF6cebwSiOm/faykDsxvM7ZAm0a1YpSflnORP
VmyjR+GxhjaF5UP1MRZ9c7AGYznjYl6LNcvzvjJiRNsyvetcCuZP11U7d88ZUqLLlC7mQz+2VlDm
8n7ohX9tpnYTqAJ7LAw3lBY8xbD79GSNJpy1YWq2B7Sk5XFMHOy8yHGqupKnFmH8HpwZDztO/dtS
+ueozAK3mrI7HOUcPiiGN2Ie1S5nCkugDhKgdgUNjo1jbs3FccAxT/rU68U4hsZCq5TFxjnXhBnC
FGFqyhAtIOqpukZuivaIpBy2BwCwn0TCUWqxr75EYeEeHNTLe6uBfozIermvB0tfS2DFyEKsJ2+V
PM102zs9prSZMtP3S8Z5PKJV23t9NQVGjXDKWSVUPccXeuPPZpHog6h56vZDhKXeIkF4UEm1T9PQ
e2Ncnc3X9E7pdeSy6cjf1VvThJBLFfkQJIwUjjyd233j0TPMbK93IGLRTKxyMORf/lfVluN3KA3+
fjFLdH0NuYk77hv2P/Oo88uc1s9xL9JnBtPzF8NDjLgpF9e8xkc3XCmDR2LFVge1nI8Cq8YLv8GF
B+JhlbSFq7jNXmVuOXo3dOMo3wzbaY6qr7L7qWrgObGmuLWK1r9ymoRqBkgSE7qEjlMee6NPiHUh
3BFoaO+guVtW+R1l3D59V+Qt02rxW2V61rtir1nFewgQqbEXH0UfwxYiAnML15A9LoMVIEiWAVVI
spmspbgzDPeIaIAgM5IArlvP+lLljQwvJNlO8VUt8lcPTPsD4v5DaChhkNHbO6F1yDsKPokVfCz9
3xYHIfCOCIPldmHecKd7SxW/gRelwgDUuSlV1z+79WSvvKmYuijP5JMTalIK2h6BU17657GSFrE5
oUYaVTPtRyJsFOm4RdgRHWtHZu2zlY8OgH0X2xzZSSWwJ3mGu6G0wTIrBWXJQcnnXgw4JaEyMjrZ
QeowcUo1Y7c1EUPeEOUANcZkTtbg03BncV9Ofh++pWv0H9oRf8MJB2bQMZydSZHCletmyN+LHvAI
QuwM1ACigo3Z+elXoJmzcVTlYFYnt8ohlYM1Af45AA9j2U8l4FyP4E5eirl2v2RCItWpIG1EJxF3
5rApV31Q2UnnjWFDlx0YGjB2l3NDJ4yP2Cf8lDGLvyvdjF+55NG6Ulr1LDa7PqwlOkdmY45o0zn7
+I2EUCIgt3zNqBxrfWpvhsQvq1upZqsiTqlvYru7Qlbqmpi3kKhHcpJo/uPSu8VOP+3dVY9vmvmA
xNDlM2ZuEM5P+Rqi0gLybsnEapHbLYU/HlL0INel7zSnLPG57yc3DNz3ZBarhxWGySY+wGtQh2qN
cCnJclneU11a4VaXaY16Ceta7quxI/8ld5Rcx+lrLky/RsR0qWetoLODu8bHcK+ixhSRl+xa9IfG
3lyjZmSOY9Cz9CK29ohqgKSZ8kZSbz2oQXo3nce0zX1Pr8HRdDUjiSB2kaBBrBTRoWtpE0ir6nNz
U+hl/q2Zm688o9obhqt4L9EebBOy9tTGMhvzMSLReT+ZKbl6TqTvHWbkPBzKHIKA1LdVp4x9TqTS
eSjN8LcFN9bdHIpASy86cXSGR5SL5sdMiiQABKE+DQLcwKYLrfqYIsG/kotcrrFzqQ3C0Syoxzml
mrdp5ppquHGiaU9t50CgNUm26uwYp2M6QJJNqeHv2JWkO6zjB43D+3mRVXeasQkirimXA/A5lwWm
YPC1aBZSYw60F68HNLl2soiutDnisXy5AeNUSPT8fiRRjruxBJPICDfxHUsReJdLnO0cArIOHm9g
X+NNQFU5OjFH4+J8tNFJ8yx0/frLoKzuWshFfGN+Uu3dju0LrGaBHbmxX+GV1nhXyaCrkfzv04RG
oy27/CYzx+al5z68pq1v75C5+xclQW3QPqQXOjGkKnY83GSgPPB1594RZubnRjnJZQa9/EoIr0lA
ocBolWqPSgBzMhk3MFmqwjZv9MTabJtw59+5qZwO4AHaL0qWcH+8LLBpYe9bjSR34xTKOxW0Xaxi
4+VKgDz+OuJK29QTSeQZGJgTZs7XkK04DQVdeE7PilV+tndMvlu1MYXxcSpDc+dgTL12k8S8sg2N
h5SnPxQaaDeBQ1NMDKnong2rR7DPPpVpoYOu3zeYneph8vxtA3JgywiBFO4ysgAUFbAHPIQvnohW
Ryp0UVtxU2PND4BAuV+siVqeJD3E7NJMOQnaNgMFVA7MzuSjjfA24pEXFaDGn7QH2/v+P4udf2ux
4zBk+Kv6/rn7Ev+ptP/xAz9lMqb/gYUJWhjz5/7lZ3kvVqAn0V8+C+F3nQzCx59wC7Y2K7sTEtv/
r+sl9E7TtFn0SAh2Kwvjb2xy3kn1fxBqgQD1aUJsZ10nIcixV/nMHwyaFZ1kXM1qvvaxaMEIVshq
533hIR0tCsc+ZdO0emsiLA/adRiRzzOjBSoY8mfK9tg2LH7pZKc7JprYghJkiPE8u3cEYWlKqCqf
EqJPN/Zo9gOUhsKDdPZgyBnZNyX9QFrPcwxQp6iPfYH8AujYQPCDmYfGrV84aDaqNmXuQOEjKvWd
wA/0nMeR9dg0nCLZswQ9hZIIzbMvVTM81gMf8qNRUmfsagcT5y5Kx5Y7HNadjdyDctPk13Lo1abH
bWJxzyOGnRFHFw7GxTFPbnB0xodGWgt+e6IynsoCG/jCYv7Im6rIk+qNrzA3kyeVOi3a5CJOqfFY
3U9tc1po6YnMDPsvviDomyaDyjfJSNHxKPu3fjUwWd3608Lg4JwyM3IlXr9snKzdOOJPuLJ+YDYJ
Fptu4igDtjmN1epQyoxofjRm0cPlxPGYMhhm5WPJg4W+pj8MP1iewoxCsZ5DGYntE+EaxH5d1+hI
6H42hWtZxXD6z4nwb50IKBtpgv91x//6TXf/9ZK0EbvNL386Gn785M9Nr/wg6RHRSoI7ZDO7GrV/
V9ApMJUujCpEz6hLTW+dMPw8GswPnr0mYCjJXavorP94QsCo8dANeyhhVpXd3zkhyM74tfO3PY4g
VLaSo4pX+csREc3OmJdpFJ90gT+HNDOXKo6F0JWNyy8gpg/5b4bx+UELYzMXEY+tZCKa2RTjMYtb
A4572Mt9C3zlEfGSQcOb+y9EdOUHdPMrh4w0dehRcAJ7r+iovrPYPekQ2+W+T/uQSsAgoAHUpJtD
b8lcLxh8pCcYMqdjEzpnLu2eFesctdzRKnpmBMgGbHDXoCsvxX8wvhC6FCKDD/X8vHTDwgCOBKRk
MIgMctL+PiJA/dxVJdUQUMBx17EdGLZQv5oHl67nwo+wRmpNCdy/Mu6TsE51QJrreGxt/DnLOJeb
Sdvm6wLj5yq1zfkJRZu9n1sd31Gre8x4l/Wd57Cpdlbh4b4QKd2wXFNrYpgRj1HsunvLnlBLaf4Y
m6C4IjDgmc2Cu9bGw7VyZpxOebc1YIoHEds8wnESp3vM4ADfQcwFyuiwS4T+QxODsajnHefKWAKa
H3+DAo4engNy481NHvCaKYl0R3hDRQFhEUdBN2O/9llWHykLL5J8qIPo49tILVQf1ozqKpAw2LYO
echEskWLc+mMdsAWV6J6UXgsGfJ2R7rF7tnRc5puSC4QO2Ow2q2TzjajXg3CyB/d/oKU6dil5idW
cyCeeS+7LOxewpLy2h/b5zmbHZa/Zvn5f9g7k+24jbTbvspddw4v9M3gTrJvSIqkKIrkBIsWJfRd
BLrA0/87UuX6LdolVd1xzcouS5mJRAYiznfOPqAB1clK22AF8STl9AHZzuq9TZknyb10CSltxqAp
rwkpdTdlDW2aq1ylAQT/xv9Ah5x/Wzjg2wxoqc+xiO071TX51kNoulJL+7W3MXIRaVj8bdxlye0y
5fI0R2yscp8QVGjNTKtRy0vLjzm2GPGd5fRPCCz12uuD4oikGlMr3XOgupujpOle0X8kvVEdwwtm
h3d+1XrnPOmcjwVFJRswgcMV9sLOp6634pJNbSWuGam+TLiUbowW+I89mV/dunoJponxHBXLHfwy
LExlRjE0zw+adyuhwmfyhcPDYmjxeYzLrQ+qD4BJNQzVwXQHL+eA3NQlm9dpekk5TpobS+F8wHDW
wb0vdPUJp3p76wUoKVkNdfBubJZyXYCiv2o7DL+MdlR8N7b2LSSk50VGz8CKsPw50VYEJk/tyM8g
97lB2on9CNd6byKIfSZz+oDp/atpD5SCQ6lm/8/84+AxBAw/pCV9iUAeMgrjffuQsObc8zdg2nRk
ijaYnXGWT8eZnTfEOx9D2HpI5GRfy0guyT6MiS+vB9E+V5nBmFyAgOMt0ZFoDDHG1bpZia5orxWp
QJhzHHkHM9pz+k7JKi9jd2eTz6bxKrYqusEGlZ8Lx8zxXkggKavZbLxr6TnxNnCa9JhSubLtWg0o
CgxjY5GX+gzqVHmrfjnXZmAckl6m+wK0IjBN29h5McPNyFTTrta1NMlcFk+zx+ijYqZ5hgW6c2ug
nppIMAAdcAFVC8JzeCgLcgHMs3z2FutwLAD2wVWi4c/BVAfDej9C01yPVpVcTyNekPWQL8tDBxL0
6PWhuJ6ZaJDK3aRDeQY6lGA9BMW9ypIm3HIgqXZ5e/bV/IQA4W8aIe3jzGhs6/FfnSmlbq6t0umy
lecaDAm7prPNjccMPTgWjJdZqUR350TCeUBtRjPwsTymnkW7gGoXhWwUN2xryqJ4pmAZHNEcAEh1
LaaxYnwBiZgTRxrSmWhQJHa4FBk9L+NNuSTq25Cie6VjEECxStwS6y79qXMsv1D0xtiegCnClQ/3
tbFNehIrVeJs04TacnjhwcI5vi/HQ710tA7qNNMC3mya/DV1Ef0XqAVOCU8gkFcAQqPdmFgfk8AP
D45RmefMDFqQsmG+pz0CNBtldRIWwsriAbsFb6o4/RnjgTmJeTSVdtoAMDn6kzvjNQnNs9+TMOSJ
He5ka9p0LVvRea6DbDvb5X2sBzSBTII9Xl7QmbHIviH0MeNWUIJXVcvaO1mUY0aO3R27iKHhKk+o
WjS1hgaPGDOSTXqQn+h12ibZTcZQaV2Q912rpYg2np1ZJ9V38W4auvNcVR1c/Vm+eY2Yac5tCdKV
ZXtFEy07TMrPjmJBB4366ph44q2LwHcOxfQ72/xha1rK2g4DjxtLpMdQyOTAXtjZVHF4M1rxfQ9/
8capbCByw+jdTZA76KGWDDnz+8GUxt2U5rcz1/UUz+iuwixvkqBadrNfML+a4eNT547Ba+ctGKtd
SAKUnIxDvxburD6RYFKraeC63ndDlvgn6mUU6TNytA06Al1QGMhmBwKC6SgsOQAYQEb5dbiY2zSO
2uVjlZmR8QQublabDFrggvdH2msTCj3Y/7mgBJ7BQW9Z6tB62UcvED6F4ePCVkaiZ92MhSW4rTxM
NjYo1oYDvqi+qgYQ7crES/bBBsqWblpYBZ+ddpg/V405n4I+t5hD1nJPFyfq41gFM4KBKsYTaOCJ
pb+suQZj2sOYNZetVbFihoXhv6o8zDHaD/lpNCNATezjq/twGbJTZdIzDh9xy5B82ik7TN5o9zb2
sgfWJVXY7aaws3YODguABTXLa9E5XCA8HPMO0SJ5dFXcboK8AppFgQybjspxD5lYMLeaCyPLqRks
aF2+s0y6TMmhTX6o0m1vC85sjAeHCE9HPpo7D0k9xnqcIjTLYKBjsYC7oCRcGmKochyOZqqGc5kW
xtHoOp+NH0UOxYrjZvTB8gy/Xzf90mU7RtsQFUKA1pvUGfxNkXTmsyRejsM9N/O7MBX0G0f5BM7E
VxmmEcRGSkvnHblE/7BY6TyuOM6MIH+UCHTDleo/l+RINjHk7qsqDytvVfLlPy1O5u6YJu0dSi27
VcY4CF5tDXC1K7IYM7kzHsjWkS81MnpwHPTnG1f5eKnZAXVMnZnCHd3MNT/jmMjXHBOp0koGJyx2
LWWqxBaK3sQs0/dPLN4LRhDpn2FD/I54TQFx4Jk45thvUa1dwNJGTy7S7dQPuVqJwbPXfe8vrS5N
qz7UnQxBGRTpsO299Lr1JmwqU9VfTUPgHQnHUyZbA3G6k6UYCoTsuty7Wu+O+NJIPkrC7GXtqrc5
DtOXiD33J1v5wTl20Xq1pB5AGmBrtokTK4muK9MDNKGCp75y5GdCFbigE89F0qSyx5498yhstVBv
n+f+swNlYFqDRhKHDKoTzxI7ui5h1X61MQ5DasmsV9bT7JRNhrVVjPOeRuaCFCXjxI93RDXTcIOQ
yQimr0jf1+RmCMA4TMcnGpGIh21JoUR7qGYDIflxPC/BOOG4SaZ7yRhgBft9XuceVa8NcfNXPDJE
NOymcXdW1uDPa61WbDt7pCGnmeEdxH23pcjH39mjGbzZtT1ftSR3b8JuaT+2ugduzXqef4MaIx+w
ZpdPiWWWycZTeXRqFF7oLCjNk9nG3S7gfj2bXeKD3+3x6AGkO9oa6WbAXCNl7rZbRfEye38qojwv
Hkjy9zRWF2VV7ya/9faApurjbLIXb/FFPpCCdHaGKbZ92+WUhQiogXk13uTk9s4sEvSuVik/loDR
jYQsQUkHgkFqdAzmNAhduVbVrIuRguSm0gq9ICnXZuxRSoLNbKBo4koL31voq0snPA+D/23sm+nN
r+YUPEgZzdejbc/ObhJus/vv+f/fOv+TKOPQ/a/P/49fRUXT5Q8n/+9/5o+Tv/Ubc3ZKczjI2xQ7
OAz2/3HyD5zfSNoQjqOq0r8YwP/35E99D0KBjRD8T6fAP2b+1FoQw2Nv4npwaom+Bf/JyV/nVv8k
DSJIIr9HBPHQJAIqo97lWkOLDBiJe+8QhhKSR5qGbE8653vy8l/G3LVv4E+v4oa0aPIZUT5pNOJK
6P//TwJkPIxUCzPBOwx5TXEAj0NCFYReXjTB8rbyyRKXCzWYG0CEv4qp6u/rLy9Ol2doRly2gIv9
44unUNBoCgijQ+JGTbELhJw244wDHchncZ/Tj/uaoE2SQqszZ8MEKfs6GyAutr7wnU2JW3alBsw9
/RiWa6czutOg+xJlmEN2ysuYxJsSnLeSBAavDOL7Cn775k831e33S/V/6qG6beAFy//3f//2QwTo
PJYHoZgb6d0VNAWPA2C40QF2hL2d6f3ZVQZgpgxwy6fOMcd1bBUwwowK+CrpR801GkKMA4lO5GWR
9pbbwOMIjsEvW7AqRUAqR9wSR3J6BZoDVssqG3qW8aVnR09B6S8y1H+RmLgJQuQqQmYhqYb3IU1I
ajijgyniYdNO6CxMdcj3KGyK+befXy0tVr2/3RDhHQpGvND7i43Fw8yLissrjSBmDuye+fL8sDuJ
3unuTA+j+c9f792P6HJ7R6h0rqaM2ezkf7zDbEvWdWWUvF6SiTtWFOaRQ/KrEPzfXD+MOSRdSaCT
/ngft44EywWj6fAgbPLtIVetdaLsUMjw4ecf5xKnf3f9PNvS2qJeF/6yKOSQKKKJe/BgQx09LoEE
yU+D8l4pvjhVEc6CXQiUFjxbca9G0Iwt8snGJUtwj/tgOVee190JOjtgCIwY0VorY0o+QvY9JED6
T01Z45Dn3vwE1KxW1OmYLkPsfMLS7Sa8yNy69tYK7ewgbV9+nvwlO/z8QzoXlPcPnzI0GbxwOW1d
tRN5mkXx50XJRkjhMDgfphy7Jl215Og0Sp4YWLFrNF7ehzMPFBbgvEbPc/PmBwD9w260NJi+FeKm
vdDqe7j1dNmbny1yvTceLkBUHfD29ARjOp3sj1ZUdYhNIGLWwidLRj9ptEsX2hx6jctPkxrnkEbo
08pl5WPywnJWHHyN2U8G2zuMGr3P0yVlOhFDy2V+fiC8qDjMAOtnAmLtpdOED0Kj/HMDakVtdWmv
G8q+pBjKsGoVyZE+BQoMwNR0q1GXA1S6JmCMfW+Lucdd+y6JWR9PNeQAK2kOhWiKR86EdMAimZDV
ND4wFVZvSsGwwX7YbxOS0nsvdgno5D6a4YJvcmPoSgMvdcyHdpDV5yBJi2+tlTZoUWaEa0zXykJc
bPTgCGDYUwBsbhPo8gQvispjrvIZFF7kf/B1yUIfZhCTnSqbPlBAggk713g3ehnIqebrlKYGQ1c2
GHVpbNwkS7ZGIE5MoHjXvtVheYqO82jUN03cAsCb64k2CF0MYQT1Hk7xlb6emEJzyol1jYTUhRJW
5Tx7QBgROFKyx9A8r8hjqk/GpYvC4pB3Yw0GY1mlyypMni9AzSmwsJsoPDJDd15F7MtbNtKyPvaM
otZdIJ2Hwt3VZDK2mGoBUnWO89rosowitQH3tXNIBxwh2E+1kuw16Wrlq5kxuOrSjYn2jTR17uyY
nTRr23jE4qxWyoC4uhKp/cZMuNoI32rvlCivs5iKKo4/GFiSkniyrv5gaD6shWmeWptzkJm4Lqyo
OfmI6H9NsuIl1SUiad+b97FFsUgu/M+qL8jr1vWGBAglnLkPnxLRj2OpsK6CeZjAgVNX0owLxSWQ
QVdD3hkr/HXAPHXBSahzuFZVE0TMGx29oAilkDO187ocxdA1Ka0uTCEt764JlwGyAtWjYSvjFGx4
DBXQa0KfxpUpA7aRUMMipDTOHlEDRGkMAQKs9CsnShMulQxCFF78QCvTztsPCKF8Q5a0KHxRlntM
67k8WLoOJmj4ufgG8/+Csgh7KQa0WDtd4YbrVkufxmvsIfUXMbrJUw7e8s0PpHpyRjGdqjAcj8UY
0ZyRtO6VMI0WXijhCSze43Gw+H0ZqgCbWirSorCjA2mBN42ChW7SzgdJZibEGIxl/uSONE7jN02P
yHjt1i0btEA1EINz4FJafldfZSD5V7XJGd9r+Me8HgpiLv7cnaLWLDZ+M6i94WNS66RZUBMzKg4E
YmpuTIXdP27ZFCyjMgFE2zhRbNjRWcKTw1pi7YUZ2q05TvaWTyxOgd8zmySfA3LbVGdiAPLzEk3u
B5sf6o2iWmjYoN0DpzfbZvxq5WIiDGYuhLVz8SUNSN34TRY80r9UX9W4Px8Mk/1F2bQpEIOJ3cnI
lo+sKgpREuW8OwCp3WqwYH/PyCj3JXmYpzx3ik1hLtOGGOB8a3gtWZbCco4TdPRdC5fsseklySF0
n7fFSM1DmYOYywUfkoYZqgLKJj4t8NQPSjntjZMu8SmQgifX5CDsAdIuNjmZXtxqI5+8ID0XmXAH
vcGBI9cvgBJwBX1YgjZm3OUu/Bk7KuVnuMC43oXDOwHPa+7HsecjYSDEqkVlImflIve2TpR6HywW
hvVC6dS+7e3lYALhXUfBEJ/Yq3ik0v0Ip3opTiPaIqj7VH1jDzw+ZkCptk5jowVT2l2u2NswmIEc
sI9rwzvTnmXcK14AkkvJk3chasbbJjr/AuSKTtfYT/t7hE7+V5Egl5uEoUSQWk9m6J0lJRD7YOya
vcxtBCH2i87Zm81937EoWGJwoLJ37q5NaaqvCttfj2We7honTmFk4gyNDZvq4x7huJgQrTITP30N
3qFIk3Ev2lGley5/UHxhANClVwzEOxLziiZ30G9oM8gDJnFQwiNXEd7SlpUVFQA3oe2mN/Nkz9Xy
34H1v2dR90gF/2kn9Jds8t/Oqr//oT9OrCSMXZ9/ZbN/1k50trN/zKqd3/wAHd2NyBizs/4zbzyC
Uo7Yr20rvs/uERDMHy51UORQY0K9nwztC4r8P3CzBNZfXOq8vMOR1cdA7+mC2x83buEI8hA1x+LM
qmrQmmMDf0XjNpdadVfZ5Gxxbb2omlEyvjHwnKx1xDE0shM803DjNBD9WQGcnRfEVsyQCy9ZqoGf
QqM/mxqQ54pj+bGL+4eYp7A2Z3WvptOi2GwEZoBPIBnrR7vHIdNWE8+Z0TbEmxfXjLhTNv4u9eCv
tdlpQJktvVenZde30qeHx95vjK/FHMyfeOBV81es/VGQnzJC+jdpE2xFBcckmfMz06qWcpGRcO/k
uAlnssQY3JuhxyXDKt0YD4br4UHGVTdu25CHesDGdSWrrHOJXzrzjSVmUl9FGjKbKXF+Sk6wXJbG
tg/WPCVXeWsN66HwtReH4/k2pk7F21kdKIpYFr+71VKfeWC0hE0Wd+NB+X4SucRRbcUu2zyWxDJ2
pkfbzpW2FeOGdSXProZY8G0cLWbAgIfAHi4e45llm0e4nNnsmlRmFxlwNnrlxi54RMJD4QtIxAFV
FuSTaQiJQfbFkSajs5vs7Q8dAXPQqIyUHgROwdcB3w/EvnJqn93EJfiiObw0bumrzGKXrKAqWw9R
gVQDIZ6jLYWWPEzL1tOIZafkNCI0W1oSyhzWQS8hWTtMBvGac3oEk51GEOEM0YEKnuqhOTM5AN57
+Z8lQ/1lHbfIA6tu4OQHSrrizzD/K4KrVjOFGWeQdfb6Cgg74IVsfUFy9KPLgahkSAspYob2HTYF
xMG6B2rOhpLwgQh1fFfbkx8w4vMxqmHM9hOdcWRO+wjGhybvtsTP5d5lHoj3aJbLOaoVr68q2O30
R2Llyt2FDxToi4I9Gh2xLxZUfWAevIEJy2qyDZKcq1uNcftcclaJ6QMfi4pHCl1CmxBcHt3gAZH9
m3jUBGfZx2Zy7NsRLl7S5P0b8xN8tcQmyaISY4Muw2623Jd5DpukMSguY8p5QbpTHMxfP/v6w4do
C8sKwCBXUEwz/2bpEH8ujOmZ3TZ4aokC5CeDAb0CHi79SbZ5G2ajf3V5RT8YGIGMBthuTlPcmxTB
c33zCbj3JArojo7r4Yt3J3tc9mxU3VeTfTgMWZoIz77JQLkDtcOkwZsFQ4Lcc+8uBOzC0QQdAG5C
bskWQhDvbM3JT5ySj6XY+V1BofM/u32ujMfLuwxxiSWHUrlZvSbcw5v1Wp+7zMDvexMJbCDMByRe
XOlDLl8X1dgtH8naIkI1pf5KwQLqa5IrU970Cn9M5AM9V5QuyZtIafTid1y70XD4LhpNV+cgSbAT
rw577BxSoVsx1dtpaOW3ZfG4I3Pf0PeUZZfNKvGMsNo3w4h/L7CqeVinbTHDQiz6adNHbE+InE73
GFDn2zFXVAFwpzlrk9lRyH1aV7SpuRHTxZATSeuFhE1to2M8YsOUHCpy2GvML2CnzCA+55GKHvky
AVJRu2Xd56nqQZgL2T737iDjHWHu+ePIXUyDdVjtyEjq2V2imbK9/JIbICgIffCzKKNy/hj6RrUO
bDKbK1tMgg/DBbjy0Qn4dFVBv9XSwEFa9xO6+8aLagmQPEvwH84c9Q+TFQVfOjwzztaqm9DZYkkk
J21L2AJJkrtHMAFcXzWn8aNglnjlDxi0ecFq+jBZnrt1iahwmuydaWV3mJFXFRLc0ZkzB4xYmKZr
wRODkGhb35cjfBsixCUjxYDj3KeoWYKdwXb6qxtUzikWfXbIx9B6K71geQyTYQ52JkvgVSf87KvT
zdPD4HnqCO6x2oI/itdNZnwSuSEeOdvLDfHNntA0Zoq9skjr2JQWXFkcZvl3c70zQ7AINQ02XwE/
ASdwplKeqdcNNLozUEyhl9h5VkUuz/3ExnFNyZrFQVUU15gFvY03TXoHOfds/DIcWVde0t0In9mo
50UpwdiQI+tqVh2p3n4ObxCh7oFZ2/MWqdKBahGO0roqL7YLTr8wNLBi9COejOXiztA+jUk7Ngrt
3ahHwWqCm6O+GDusun5ykonm0v5i/BiHzLlqC7g6n+LWaR6ntBQfiYvcpt7YgWTVAMpE0lKGp/Zj
zUhmVQ6cgj902nrCeIdTTZKaT4k9zTSrhw+LtqoM2rSC+YxwuzfVjW6hbMv2MIo52gI1OcwtVbsD
BhgpyXVi5kkpUdT+GJp6yrWKu968k2nTMPKH6lNqTw2dOmLG0dCTFKKUqDY3aZxOLzHm8nJtXYw5
5sWkgw8Lw45huSVFIl2zDvFwPNAKEj5ndmRKHoX4fQbt/Kk4Th5H3+GupnHhZebxfp7KYbghe/wy
ibC7blGne8z6c+tTLRTTl06F52ZElPyoIsM9qzm37grL77+N7ixe1MWqRNYA2xIwMCxMvViKY1IW
9brtxBOjwPguTa14U2j3E1vB+WrsLcqCJFuawBenQTrGBwpq/a28WKgI3Xwt+2m+6nRePvaUfQfX
eXwmvBVvEsBIt1EbeR/QBpJgVVyMWvBq2hsCNsU19QB2jXXFNO5cDG+bwB2mLZeL8JHrz6dWVvUL
CjS53Kb9FA+teSpM8dhr3xhUZE+n1p4tOznmuLeuDOW5T9OUYDgLCiUIBkqLoCLMOplwhHMQH66H
QJDOQvIpArtfpSa8BCDq7exeTWnv8gkZzdqp65SbpMW+z8PPoK9E+5uwxlVT2Bzs0voc526wSkof
Z5vNIR0JibM3jcz4hPDZSZvUXDpzrEucKF42nGP9FQNczHnRxahn261zFyaufxtGov/YCHfgQU+4
mc/DPLBYZkjWOP/oGPRW7ZB88rUrsIZkAI4Zp2CCqLHD0FF9zPIGI2GuPYU2PLcN/hPwV605G6uh
BxezUjJNbyudI8PspB5M7VNU2rGIP4cFiszyNSvQCLZd0rbdV9Gd05u4Hesh5R9ttz0T4u+gnTOt
XJPdnrbDxS6ZaufkoD2UWeZzkIv9Izke6N8FCi5dK7guoWU9pkOKYFKhhnhWyIaCwt5PI0H/VSDn
nieudE6+tnPO2MdWbpRiOBp8vode5Dg/q8qMlnUYDD6jZG0OHS8+0VZbRt2Le7RMI7o1gqrct5Mb
PrYRH3xsZ/ERdEGwk3MX5wgsGFJDOn42dGuT94rB783CgmTs1/Qk5qm7WVQiz42LV2x1sTbMelwK
1JbJKX9mhnOi56kB681broesSJ2MWy+T11QPYdsg6A6RiBjMXka0elhb6rHtcpngohD7IH4Y6+bE
oPCehcP11Fr2JoaVruvkiIDqkTBs4fFmYfrufOL5Vlz3dUkqZl0xLb/Ne7onZeGROq/mxL8vI4of
cMhGYjX2WC7xOri/F5ZtJrvIr2t+QCZ7QfIkBYVD80d6I+crTKhyS2g8YsQuw/hOsg24tssWk2Wt
nIRuxbFuqA9AvIX/9pwwub9f4ilvkcLTXVcMCgej5910NbY/hLLOgHPoDSenKfvzbHXU99XZfGt5
vXxIp+rUTd25DZd500V296GSjfzis1rux74TJ2v04r1Iwkc2atMOSQY/p3DvkKxKcG1jURS7fMZV
fJLpMlm7LFoWzEKuaPM1s4ImX1W2v9wPjtn+PhcVNjyWvHJcQRBEKiGXSPKShGIxCKP6onRw0YiI
MBrI+6QZ28wbfg/7FkFa1UQdxffgY2WwuB0xyu1J0wX3DQnJ9pKVrC+5Sac2X/spaq9nj41cFnIv
HAELY/pYckWVd5GnwX106WfIaGqIxLQSRR3fNi0lDrppTgAf8drp85IC6HAdESbBbWK33S1Pv2P/
vQ7iTyf5v5kSvp9DMYPyfJdDOzBWqPjv6dkFmyWEZ7MByKuPTvQXsE0cLLqTvqsr//Y89/JCtADx
RACLbL+fRoaCzTymxOZQpsjxnFOraos6z16Nr0F3s+gesARItb8ixfarie77aXLELNcJSaqHrhlR
YfbOq96Sjwiw3TRQqluiyNOEsAk2/N6qS3FoZoNX9fuA/aAxVezgf36NLeb1PwwX9auTxKc9jaA+
4bJ3k9gp97BBxqI5SKvlbx+nhHAo6FiannLJCYo5OB9+dFVz7hNNGjdFPXAGqJOgZAQ9W7+Y1r0f
dkamo6P/Fp59mOnu+/eTRBOZ6YTDTCCEe5wc5AcvS+2HRdE2Fgnrl2Pc93NI8gaOFXo2hgHTZX/4
btoJd0IRzZHNoSbpfAVIq32WPI1fC6Mnrmo3w5e0NF33JhnDwTkKhuixWhMbSKvr3MtpoLnQ6RG4
XfGhErp9zcAudRI2iT9cdMCrC4BCK3epY/bqlS/fTIpCIlQct18+2r6uZCNbiWkJw+xz3+bea+ON
U/8RJpcndwsGwEmua58w1MvCIRJsRjhzSk9i6rMyJ9EVMTwmHqrAYUpeKvnGOlF/wwBff3SihGNc
30n+eybYLZA3F/RlwoHY0A9Mk1M1Cu/dYshB0k7KaXEfJjSwKf5D8cFtWgp0RGr5M3yYkN4vLYBc
uoUud+F/Uda/QFkjLWq571/7cT5n8kuDuv4Dzfoff+of+mbo/4ah0IahaHsAzzCk/FPfjOzf6EwE
Ws3WTHsU9NLyRxaHSB5LnRtiYnAvJdT/1Ddx5BCZCVAYWRFZGHiH/4G++ePv2WVd8wLAaPy8+Nus
v4T1UFbTYmD8eGbzTvauwqjiWaTwFqVQdnqBnPinC/Q3T42/e8HAJg3vWoQXfeudnFrwqVu7rbyz
Q2x5Y+mCpyUaMIxQI39IcILe/Pz1flw/vn/AwKWzG+sm4HD7HVYyyn0iBpRAnIMm9V/ziBdw8tx6
kB5a189f6scnxeWl+Kr5rj0MQKxW7z6aSCf03sJyz0U1URMR5AyZ+4VVG4axddMvS/QYUNt9w9x8
vv/5S//Np+RO8rgbQio2g/eBqqnDyWcawj1LG7WhDtkBAqWuNdQgYXH5+Yu9eyhdPih3oBVpU33o
46/5URKfm5Lc1py556nxeaGgFUhpU26yCxj7AN2odmhgOgFdQQpTIh0pTrAaegPnMjPWpq79+/k7
+uvHJ5sW+vgULFR/Ngo/vqHcoiqxpPD8HE6EXNYX2co0qK/+/3wtTvtY67iFuXHe3VAJUaySPKoL
15jGucE15BtZl/l+yO1fbT30dfxfz4i+zhj1QPd4HjWooFbfPfuyvhVwnAf3PMbpt+8ymF0Zv/g2
/+7asQjhy+PFWKXefZnmyIGzt0v3vOgOxDwc2U+EwDrX1qKL/X7+RVn66rz/SLpVw+Z5yCV8z/wJ
Y5gmC+DJc25nbF+ckddk4Ecn3kW7C7vCewXoxo8UF9m9SqlzTEaYqL94Gz9uq75fWc7DoE75qbpY
mX68YWKbvWvsF+55Dnv75AAsp8kupsC1NSR3aBexxSwKm72dWqj021x+vGiu1ANGUhx+/m7+7htw
XQdxU3/TgfnujirKCMBN0fLjZfpzz8hrojGWKYDbimj7n78UW5GQpDePlr/spuY2FI0IOueceVze
6DLzMEqdxw61GPzzF/txqWf5xszF3j1yebIQXXl/+7ZpDxOma41TrHRTnmGI9rl2qNdcLhIw1pPw
F/ey9eMSrF8Suxr1D77P3Yx5Tb+lP7ms6AjCNWfBMTKJxuyZBaDCSkFvKbjH+T6TBLHx1y/UK4U5
xTYJynI19+jVRo0PDF0JsqQOoV9WkN4t2J6pxWbqEKfQjUhY4oz6+UViNvnDTwJHrQ83itki0VqH
Maj/7usnlZ27M4GKkyzNamcuOBmazDd2iSWLYdWYlZqTdYkM2KDU5q3ytxZ/2R2+IgZI6Le8R2QQ
1t7YS/q3BePm2wxRgnRruvC7smnoTTemyGEGe5duXaz77muXUsxZUlSBaYA/JjDSHgMET4FQRGXm
pIuOe2KQZ8QkyMU5F3CFqKtugUgYYuvDU3rsFyAl6zSKO+tgSY/Th6THeNpUEb1CtJdmsbNKUFgB
x9cdrxFypS9w5q7DLbdyRxcjDOlBJmNpwx3Sulb7rHC+L3sjXiL/NKHJMkhMKrFRwqKcibRI/1bk
ZfcctASGT5WlT2IoibeG3RvMczgCZS+WivjKgsXxCVBMlFw8dnhDnuu+8F8LaBuEdVH4XpUV0ZB8
OVf54+i9Vqqwv7S05B4YFHb3wu8rBFwU7CBLaEhkDDFS5EEfQrW2FMMuA4H17M7Maty4MNbOTEHp
pZlXuXa2jx1HvgkJpsNobOsBuwfXJ0IRv0f2XR5tnIpv33uXL2gEaxbyragSWxsBOZYsMkYaDZUA
TNIqvk2gQQCh45q/pcqVBT6A6waliZPn5SlX86SGr+KXDrO5VOT69Ae3QwUBd7ZLa7Ai26OW4JTq
jQnlgfMtNNDoisp5elhBUM+I0AZFyIRCrJsu67hrEPbogfZ1cSrWm5Y4UsMQfI3nKvBPrV4vDaob
5F66I+Y+mvl4M1ggi2orep6LfpPy+2vMhDKsipa5m9SoKFRSl160uAl1WzAQFmakFwKRVTvcy2Nu
RI8S9ZazTo+pmKAhc28r5FnUk46lUrTkubzqa48RaQvS6HoJCP2tqSf1XkFBe69+CgGaI7CISkRW
S9DStdiHZUEl3tiJ777U41g/hEumriFrl5sO15u1yo3SComCmOKUlQ0oiFKPOWU5wwavl2bYmDL2
H2h0zqYV+DxUGqD36ibkAH+u3LRBySqiCOS0JOJKvBxJc1EPBQZrdE24mMjLGsnCPQk2lRDNXQ9F
G4E1HqqvjSf6b6G7wIOyg+Em8j1wrsjrsCWGgpVpvZQsXKRG0N16Q7VPuBXpJARE5X+B+wAxCAf5
FQUaItkhZgRAp4YWRRf30X5shuYmykfKCOlSS18Sx/DQpXvSrIRb9l2t4rOl+qDbh3Lyn9uMmghV
t8sL4Izm5LgVWeZ5cpcXhKpi63n2wvF65GsMYw+EbzHVLzmTr35Tj+i6aOjBXm9GObrOnQRzKSpj
27EH1FjkageMptcLEwBQLHP3A2myY1107TEXMD+VN6ivMd7YLf3Zxh1DyuopK0a6F1Tdo79lEMQ7
SUduIV6DHtJ2mC0GrY9Vuh5GYe0qYjW5CI0b7aVk+XdiXH6FAHy08YPSaRDAdQQZaCzekaTR33w7
XbHTxXzsWMrb1NmIETOOeSG3jOIN6jnZRUQ2sJgYCRaqNcnaN8OnFiNDux5ruRvIj6/r1PxSBrJ5
ogzSBuhmzTtpxM5mKHkftBRWdzyVKMxcWN6vfLeb4AabfKNBYudXDfUNt2Y/tPBge25qgxaj/lXF
OAYMzIVyJXVJ1bbB4pWfv1eWY7hg8M1q278lwmRBahYcCN+LnmEORkwZB8bu4UAIa4vxbK4pqu7Y
pROlYhhue0bzHFvufIsxzlgHCimrJwodIiB7Ma4B28VbIkp+AKY1t3JfZD1LEKuxRpaCZjFmzlFS
5mzhfEAGD2Pr8tMfUq87uDNgd1rcC/jE7f+wd2a7bStJGH6VYO5lSCTF5WIOMJa3WLGdxNlvCFqi
yRYp7pv09OdrLY4oOU5OKAyCwfDOplRsFbu7uqr++otpK2uQSFMHYRR+pVWtx3nOhxVtAPwslsju
HEpS6vbM5HGRVBokRgYktyEgifNoptXu3KxTbzQMesPPtIah4a9v5VfAUanZjBpPUME+mPkPeVU4
s2RIMZgmPG8EYXSafwmpY+/dQzAPz4qp+JSd0l9gpIciOPfrOr2aEQm6WJiS/Mry5sYppPP1Rzge
5u91L3lUwuWXBqzzXVAoxRX7KgSyigUJnUbqbuoVvjddClHfe6XBm2PFz87TKvAsIOW0GTitfAGv
YhrmxjWMxHl81tRhModilX18FMDcVF/RvqU/1tJ4cZPmFLPpkD3TqWcelPAp8BYAshJP+AS4ge6r
kD6FNw0xtzswEOFdSs7v/VyYdKCOB5Q1V73wnMJI9SG29Gpc6AllckNbEfppbqpwYdN5kmrYZU1i
OQ3ZLix7CDe1qV0v6urBTnr1fV14wbtBWULDTWntt6DWA2+UkQTBVsp2PilR/FtLW4gbYLDqdc+q
Lf3Ur7zcUUSdjAlvQThH6HtM8RG0jVqRzzMghQtBajqCiLIZKIpNY2CodS78MFI/6EFCTjRSl/eJ
8O03/UW5fFf4NFOyKq/+WoZFSg1xnmviuhFNMxxBydWDRN+uzeBWb6Cvu7T8Mr/Cy+29mRnL+CO0
NIo16tFHNJKVl/0A/h+zvq2x8I+DKs1vyiSpLkGGLMbETufhWWL5AC/jAe6Fz+Z2GWjw3IwSTha9
kVcZ1TtPqajyjGY2GEKoObOvQVOosIKEwzeNUNhGyXtZMGzRq6s+U+ZZaUOMECs3hbFYDk8XVgp5
uRkaGhvioHZjRS/tC6uXLi+8xNNea1oKCDPUwUWUhnifzwfpx3KwyD+ZgDzOqwbqpOWMQsSAIiPY
f8mcUuA+M0Bv1wadN+2lPwWtix0q+lThwP0vwjMNVb2tlvgpUQjZCblNW9wpffBf/azuwSpWAJwW
aqpemD01IzeTRMOLNDcgQo0VYeWXJXP3kV5DzefEVItJPYQZtdZpD3PRT3QaRubhYAgAPQ4N2MhN
Khag2k+Bqfkwz18ZRfI49BvvbT6bq1g5kRfXat3QhyyOYf+Giy1dnGpEjuEgjLK7HqTJ50pft4sz
y5Pco8tF05Aliw0Yhwm/muOghAa7pxnVF19fxECnvOXsDviH0T+1wU/dRVYYFqeUGvXe+TS3HGGz
84FG2UIdNuWnBoCpra092P/HQn8aCyVKtuPaHEA9P9MtDGLcVm2ivvrOJhIKTRaEZTj/OvFQSUJG
OGOD9BwMBtyCVliVrMI4Q98DobI0ETzgtnOfxIBuSxP7sq2fAQbUpFsM/qzyTwKh7VgLocj+UJY7
QZmmaBoBVumk73iOdlkPYLdO69tyPvXyEEbvhx1tPBP4lAU+3yMfhw/Yc02zRg3nScMDzBkbJ/UX
peWI6lZYI/9nvV5XnnXrWQRWiK4o1FNZQw3UavvH0K9pEA45JpMCCfG9OZqCEqMXBoRHChy+3/JZ
45kTOMXMon/ZT5S8tyTzOVyI6BqauNSbT2FxMw2PeiDN71vGpZ15/UtMZekKDrxi/qbM6HSljftY
mtdhbs3sDO4ysPyk6mL7wyItLgjwDK9z6AzezmDHETgQdhoVIyVSvFNTzUBrK5XeowCmrlQLNEQ4
T/3gnnSuV2VUB0X4nmcMgnoEoS+ocaNHyHWGs/Zx0YQwBNgp3QkoOAjrC0gyQ3U+NgrIKYcNbSnM
AQ1PvlGyoQMCgrjwlCBPNiKdCWGb1jOS5XhWWH7vvgYQp0XnauXZVo/mO7ArN/algeOar0PD/zO7
xuaHyEV9vqpUfle62eK9m2Nn8216Qd5dlYx+iH/vQy8L2pCY/2QfAgQG1ruVklmNaTXgl0SETiGK
curCY26cADYnRDSwCKZxER0MYyre1rd7ULGccBwnSqkRFZXX6oE7OvqRFl7+gWt1vvyZ1i+YxGVU
yNfgif2GqWxfv6KDPQk7OrBOhqRyaXhJvFFewN53dWBBLjkwAb0TlVxd6wf+93XgTLEqZ5wUMjEp
WsaF7mZs0r+ihT0ZO1qgXJ5oKGk2WUnAtTcT0IIKJpuKdZJ08sL68MA/SAsMXBYAd9KCQmM4WZkP
JeDmas8FOAMljzJpFeysvJgrf5gWgFuuX80aVPK0U/2DXUHrn2D65ZzfzHhW/e6KMK0TcjE68Ad2
oNX1p2mBEMVB5+V/ujeSXQbkQjpYBQ6+ede7WjCGJxze+iT+NlriGPNnzQVF4yjTcUUwF0hPw1Wx
Shvzsplcu1pgRXAHlhr4NLZa+lUt/MLm8WRxR74IpytbK9z8OZP8ow9sjczh/Y2Bka1COOg+nZhX
H5Smd/1s94mu5K/W5rna+nZubrfC3a9vfuDho58d1PafV8LNHIo3wY5jpxebYd46cwz2f0LnwZkD
NFg/WY6d/Zpd6PtI/v2v1jh33v9PBOfBnlyZ0O0sNxPLOGoLJrl3DMGBE+VOvpW0UgU+y/bvZw9P
T8bhJVWMnFA8xtker+z6tNVVHfgOceZM4+0o5aiNFdaku2Ra4EwKMSlbZwOIzFixXYWfuaFTO5m7
lSSHbZqSUqez5M155lX8+ArllPOHNp0v+LojzEIKnjMxbc/C9XGh6/gv3RgO4rZkrAJnxK6Sr9C4
EFs5q+mtroBRXQW/njp+awIOtFWtZ2e5YSiiWLRX5Po40ll0NBXO3i4ia2S32vn9xf46rtsvD64k
4hVdBzw+3JvA/xxhvYwZWTkJFtshruaFjpa3//h9VbyJS5EfqNnirNtd9o0jotbuIXm0jjDmG4cY
sxNNtyOU6qBb1zFe4Y2T586EwLlbFK05DVRGO4ZKxMQXntMCTFJCbHGM7Dr7boRshxYXrZmt4MMf
YcHciJwilVwkSWtvoiy2fyTpcZntiz7KwKGL29tDJBjH6q7uW/chc/ZOTwCpoIbv/CZv3cpp2y2O
9DIi23WK3Lr1qytnnuS+aJt15FtH2ACl/Gs3y93FdqyrpQkN/5GE37iNmLTMGE6fDAAcQzNfKfra
StqMW/qTnUXTmtd/NXKyGEvZXpyqPjjaA86cYH/tg6Y6wpHkzhdtja8dzK5quQtCTiRtrwbf1TrC
JnuXud5+wBCPvfurfEvHyRxGGGfPTQAIrBxh3O/9eOq+ep0f2DZDlzQjXTV+L9tYPjsRCSVKpOpx
HnA4EaX4I/gjL/b7fHLYf88T/uA2ba9SXYdXu6rkRz2MOg73BSLUrpIhVDnorrJhrOko+rOD3aGJ
c3tpElDUjrA0P/+sNUzXwb9U6tJV9o9Txy9Kfi7S9BSdP4w/bfMvz32tHVyTn5iErpP99TcAAAD/
/w==</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sz="1600" b="1">
              <a:solidFill>
                <a:srgbClr val="0F2854"/>
              </a:solidFill>
            </a:defRPr>
          </a:pPr>
          <a:endParaRPr lang="en-US" sz="1600" b="1" i="0" u="none" strike="noStrike" baseline="0">
            <a:solidFill>
              <a:srgbClr val="0F2854"/>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34637</xdr:colOff>
      <xdr:row>0</xdr:row>
      <xdr:rowOff>138544</xdr:rowOff>
    </xdr:from>
    <xdr:to>
      <xdr:col>42</xdr:col>
      <xdr:colOff>242454</xdr:colOff>
      <xdr:row>76</xdr:row>
      <xdr:rowOff>97413</xdr:rowOff>
    </xdr:to>
    <xdr:sp macro="" textlink="">
      <xdr:nvSpPr>
        <xdr:cNvPr id="7" name="Rectangle 6">
          <a:extLst>
            <a:ext uri="{FF2B5EF4-FFF2-40B4-BE49-F238E27FC236}">
              <a16:creationId xmlns:a16="http://schemas.microsoft.com/office/drawing/2014/main" id="{26D7AD52-AC97-C6CF-66E5-41B452F163CF}"/>
            </a:ext>
          </a:extLst>
        </xdr:cNvPr>
        <xdr:cNvSpPr/>
      </xdr:nvSpPr>
      <xdr:spPr>
        <a:xfrm>
          <a:off x="34637" y="138544"/>
          <a:ext cx="25925317" cy="14436869"/>
        </a:xfrm>
        <a:prstGeom prst="rect">
          <a:avLst/>
        </a:prstGeom>
        <a:gradFill flip="none" rotWithShape="1">
          <a:gsLst>
            <a:gs pos="0">
              <a:srgbClr val="BDE8F5"/>
            </a:gs>
            <a:gs pos="50000">
              <a:schemeClr val="accent1">
                <a:lumMod val="60000"/>
                <a:lumOff val="40000"/>
              </a:schemeClr>
            </a:gs>
            <a:gs pos="100000">
              <a:schemeClr val="accent1">
                <a:lumMod val="75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131432</xdr:colOff>
      <xdr:row>1</xdr:row>
      <xdr:rowOff>32161</xdr:rowOff>
    </xdr:from>
    <xdr:to>
      <xdr:col>42</xdr:col>
      <xdr:colOff>145658</xdr:colOff>
      <xdr:row>7</xdr:row>
      <xdr:rowOff>133598</xdr:rowOff>
    </xdr:to>
    <xdr:grpSp>
      <xdr:nvGrpSpPr>
        <xdr:cNvPr id="55" name="Group 54">
          <a:extLst>
            <a:ext uri="{FF2B5EF4-FFF2-40B4-BE49-F238E27FC236}">
              <a16:creationId xmlns:a16="http://schemas.microsoft.com/office/drawing/2014/main" id="{B9FD6C51-53A7-F833-017A-65B47E15697B}"/>
            </a:ext>
          </a:extLst>
        </xdr:cNvPr>
        <xdr:cNvGrpSpPr/>
      </xdr:nvGrpSpPr>
      <xdr:grpSpPr>
        <a:xfrm>
          <a:off x="131432" y="222661"/>
          <a:ext cx="25731726" cy="1244437"/>
          <a:chOff x="96796" y="244927"/>
          <a:chExt cx="25471953" cy="1244437"/>
        </a:xfrm>
      </xdr:grpSpPr>
      <xdr:sp macro="" textlink="">
        <xdr:nvSpPr>
          <xdr:cNvPr id="12" name="Rectangle: Rounded Corners 11">
            <a:extLst>
              <a:ext uri="{FF2B5EF4-FFF2-40B4-BE49-F238E27FC236}">
                <a16:creationId xmlns:a16="http://schemas.microsoft.com/office/drawing/2014/main" id="{165E7438-11B1-4F9C-9B79-0DDDF2328F6A}"/>
              </a:ext>
            </a:extLst>
          </xdr:cNvPr>
          <xdr:cNvSpPr/>
        </xdr:nvSpPr>
        <xdr:spPr>
          <a:xfrm>
            <a:off x="96796" y="244927"/>
            <a:ext cx="25471953" cy="1244437"/>
          </a:xfrm>
          <a:prstGeom prst="roundRect">
            <a:avLst>
              <a:gd name="adj" fmla="val 0"/>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p>
        </xdr:txBody>
      </xdr:sp>
      <xdr:grpSp>
        <xdr:nvGrpSpPr>
          <xdr:cNvPr id="50" name="Group 49">
            <a:extLst>
              <a:ext uri="{FF2B5EF4-FFF2-40B4-BE49-F238E27FC236}">
                <a16:creationId xmlns:a16="http://schemas.microsoft.com/office/drawing/2014/main" id="{E3234EF8-1410-385B-E07B-05B3A1C412C0}"/>
              </a:ext>
            </a:extLst>
          </xdr:cNvPr>
          <xdr:cNvGrpSpPr/>
        </xdr:nvGrpSpPr>
        <xdr:grpSpPr>
          <a:xfrm>
            <a:off x="4088099" y="437655"/>
            <a:ext cx="17489347" cy="858980"/>
            <a:chOff x="4088099" y="388140"/>
            <a:chExt cx="17489347" cy="858980"/>
          </a:xfrm>
        </xdr:grpSpPr>
        <xdr:sp macro="" textlink="">
          <xdr:nvSpPr>
            <xdr:cNvPr id="11" name="TextBox 10">
              <a:extLst>
                <a:ext uri="{FF2B5EF4-FFF2-40B4-BE49-F238E27FC236}">
                  <a16:creationId xmlns:a16="http://schemas.microsoft.com/office/drawing/2014/main" id="{A32E393B-AA04-7D0B-95C8-2016C8F30966}"/>
                </a:ext>
              </a:extLst>
            </xdr:cNvPr>
            <xdr:cNvSpPr txBox="1"/>
          </xdr:nvSpPr>
          <xdr:spPr>
            <a:xfrm>
              <a:off x="4088099" y="430516"/>
              <a:ext cx="17489347" cy="774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5400" b="1" baseline="0">
                  <a:solidFill>
                    <a:srgbClr val="0F2854"/>
                  </a:solidFill>
                  <a:latin typeface="Bahnschrift SemiBold" panose="020B0502040204020203" pitchFamily="34" charset="0"/>
                  <a:ea typeface="+mn-ea"/>
                  <a:cs typeface="Arial" panose="020B0604020202020204" pitchFamily="34" charset="0"/>
                </a:rPr>
                <a:t>SALES PERFORMANCE DASHBOARD</a:t>
              </a:r>
            </a:p>
          </xdr:txBody>
        </xdr:sp>
        <xdr:pic>
          <xdr:nvPicPr>
            <xdr:cNvPr id="28" name="Picture 27">
              <a:extLst>
                <a:ext uri="{FF2B5EF4-FFF2-40B4-BE49-F238E27FC236}">
                  <a16:creationId xmlns:a16="http://schemas.microsoft.com/office/drawing/2014/main" id="{4FAF7EBA-946D-E0B9-A8E7-F18CB4EAD848}"/>
                </a:ext>
              </a:extLst>
            </xdr:cNvPr>
            <xdr:cNvPicPr>
              <a:picLocks noChangeAspect="1"/>
            </xdr:cNvPicPr>
          </xdr:nvPicPr>
          <xdr:blipFill>
            <a:blip xmlns:r="http://schemas.openxmlformats.org/officeDocument/2006/relationships" r:embed="rId1">
              <a:duotone>
                <a:prstClr val="black"/>
                <a:schemeClr val="tx1">
                  <a:tint val="45000"/>
                  <a:satMod val="400000"/>
                </a:schemeClr>
              </a:duotone>
            </a:blip>
            <a:stretch>
              <a:fillRect/>
            </a:stretch>
          </xdr:blipFill>
          <xdr:spPr>
            <a:xfrm>
              <a:off x="6315362" y="388140"/>
              <a:ext cx="858980" cy="858980"/>
            </a:xfrm>
            <a:prstGeom prst="rect">
              <a:avLst/>
            </a:prstGeom>
          </xdr:spPr>
        </xdr:pic>
      </xdr:grpSp>
    </xdr:grpSp>
    <xdr:clientData/>
  </xdr:twoCellAnchor>
  <xdr:twoCellAnchor>
    <xdr:from>
      <xdr:col>0</xdr:col>
      <xdr:colOff>165093</xdr:colOff>
      <xdr:row>8</xdr:row>
      <xdr:rowOff>49524</xdr:rowOff>
    </xdr:from>
    <xdr:to>
      <xdr:col>42</xdr:col>
      <xdr:colOff>111998</xdr:colOff>
      <xdr:row>15</xdr:row>
      <xdr:rowOff>100448</xdr:rowOff>
    </xdr:to>
    <xdr:grpSp>
      <xdr:nvGrpSpPr>
        <xdr:cNvPr id="23" name="Group 22">
          <a:extLst>
            <a:ext uri="{FF2B5EF4-FFF2-40B4-BE49-F238E27FC236}">
              <a16:creationId xmlns:a16="http://schemas.microsoft.com/office/drawing/2014/main" id="{DE313F97-5C8E-A8E7-BB92-E6E55B58F637}"/>
            </a:ext>
          </a:extLst>
        </xdr:cNvPr>
        <xdr:cNvGrpSpPr/>
      </xdr:nvGrpSpPr>
      <xdr:grpSpPr>
        <a:xfrm>
          <a:off x="165093" y="1573524"/>
          <a:ext cx="25664405" cy="1384424"/>
          <a:chOff x="164831" y="1573524"/>
          <a:chExt cx="25664405" cy="1384424"/>
        </a:xfrm>
      </xdr:grpSpPr>
      <xdr:sp macro="" textlink="">
        <xdr:nvSpPr>
          <xdr:cNvPr id="40" name="Rectangle: Rounded Corners 39">
            <a:extLst>
              <a:ext uri="{FF2B5EF4-FFF2-40B4-BE49-F238E27FC236}">
                <a16:creationId xmlns:a16="http://schemas.microsoft.com/office/drawing/2014/main" id="{241BDC72-7F97-75AC-D9CE-5A7E1291FE3E}"/>
              </a:ext>
            </a:extLst>
          </xdr:cNvPr>
          <xdr:cNvSpPr/>
        </xdr:nvSpPr>
        <xdr:spPr>
          <a:xfrm>
            <a:off x="21611515" y="1579936"/>
            <a:ext cx="4217721" cy="1371600"/>
          </a:xfrm>
          <a:prstGeom prst="roundRect">
            <a:avLst>
              <a:gd name="adj" fmla="val 12585"/>
            </a:avLst>
          </a:prstGeom>
          <a:solidFill>
            <a:srgbClr val="0F2854"/>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cap="all" baseline="0">
              <a:solidFill>
                <a:schemeClr val="bg1"/>
              </a:solidFill>
            </a:endParaRPr>
          </a:p>
        </xdr:txBody>
      </xdr:sp>
      <xdr:grpSp>
        <xdr:nvGrpSpPr>
          <xdr:cNvPr id="57" name="Group 56">
            <a:extLst>
              <a:ext uri="{FF2B5EF4-FFF2-40B4-BE49-F238E27FC236}">
                <a16:creationId xmlns:a16="http://schemas.microsoft.com/office/drawing/2014/main" id="{9A9DA4FE-4758-26FA-11F8-438C21BCE8AB}"/>
              </a:ext>
            </a:extLst>
          </xdr:cNvPr>
          <xdr:cNvGrpSpPr/>
        </xdr:nvGrpSpPr>
        <xdr:grpSpPr>
          <a:xfrm>
            <a:off x="164831" y="1579936"/>
            <a:ext cx="4217720" cy="1371600"/>
            <a:chOff x="96796" y="1638302"/>
            <a:chExt cx="4174425" cy="1371600"/>
          </a:xfrm>
        </xdr:grpSpPr>
        <xdr:sp macro="" textlink="">
          <xdr:nvSpPr>
            <xdr:cNvPr id="22" name="Rectangle: Rounded Corners 21">
              <a:extLst>
                <a:ext uri="{FF2B5EF4-FFF2-40B4-BE49-F238E27FC236}">
                  <a16:creationId xmlns:a16="http://schemas.microsoft.com/office/drawing/2014/main" id="{0F2CA6A8-5FC6-597B-F69F-11A74A84F48E}"/>
                </a:ext>
              </a:extLst>
            </xdr:cNvPr>
            <xdr:cNvSpPr/>
          </xdr:nvSpPr>
          <xdr:spPr>
            <a:xfrm>
              <a:off x="96796" y="1638302"/>
              <a:ext cx="4174425" cy="1371600"/>
            </a:xfrm>
            <a:prstGeom prst="roundRect">
              <a:avLst>
                <a:gd name="adj" fmla="val 12585"/>
              </a:avLst>
            </a:prstGeom>
            <a:solidFill>
              <a:srgbClr val="0F2854"/>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cap="all" baseline="0">
                <a:solidFill>
                  <a:schemeClr val="bg1"/>
                </a:solidFill>
              </a:endParaRPr>
            </a:p>
          </xdr:txBody>
        </xdr:sp>
        <xdr:sp macro="" textlink="">
          <xdr:nvSpPr>
            <xdr:cNvPr id="29" name="TextBox 28">
              <a:extLst>
                <a:ext uri="{FF2B5EF4-FFF2-40B4-BE49-F238E27FC236}">
                  <a16:creationId xmlns:a16="http://schemas.microsoft.com/office/drawing/2014/main" id="{16FCE8BD-0370-F220-524F-A1355EF80EF5}"/>
                </a:ext>
              </a:extLst>
            </xdr:cNvPr>
            <xdr:cNvSpPr txBox="1"/>
          </xdr:nvSpPr>
          <xdr:spPr>
            <a:xfrm>
              <a:off x="809894" y="1655620"/>
              <a:ext cx="2748228" cy="5849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3200" b="1" cap="all" baseline="0">
                  <a:solidFill>
                    <a:srgbClr val="BDE8F5"/>
                  </a:solidFill>
                  <a:latin typeface="Bahnschrift SemiBold" panose="020B0502040204020203" pitchFamily="34" charset="0"/>
                </a:rPr>
                <a:t>Total Sales</a:t>
              </a:r>
            </a:p>
          </xdr:txBody>
        </xdr:sp>
        <xdr:sp macro="" textlink="TotalSales">
          <xdr:nvSpPr>
            <xdr:cNvPr id="34" name="TextBox 33">
              <a:extLst>
                <a:ext uri="{FF2B5EF4-FFF2-40B4-BE49-F238E27FC236}">
                  <a16:creationId xmlns:a16="http://schemas.microsoft.com/office/drawing/2014/main" id="{65417D6A-2E22-AEEA-6546-58B20CD3718C}"/>
                </a:ext>
              </a:extLst>
            </xdr:cNvPr>
            <xdr:cNvSpPr txBox="1"/>
          </xdr:nvSpPr>
          <xdr:spPr>
            <a:xfrm>
              <a:off x="1284659" y="2315748"/>
              <a:ext cx="1798698" cy="51868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D4BD6F2C-D466-448F-A8C3-04AA4711D224}" type="TxLink">
                <a:rPr lang="en-US" sz="3200" b="1" cap="all" baseline="0">
                  <a:solidFill>
                    <a:schemeClr val="bg1"/>
                  </a:solidFill>
                  <a:latin typeface="Bahnschrift SemiBold" panose="020B0502040204020203" pitchFamily="34" charset="0"/>
                  <a:ea typeface="+mn-ea"/>
                  <a:cs typeface="+mn-cs"/>
                </a:rPr>
                <a:pPr marL="0" indent="0" algn="ctr"/>
                <a:t>6,182,639</a:t>
              </a:fld>
              <a:endParaRPr lang="en-US" sz="3200" b="1" cap="all" baseline="0">
                <a:solidFill>
                  <a:schemeClr val="bg1"/>
                </a:solidFill>
                <a:latin typeface="Bahnschrift SemiBold" panose="020B0502040204020203" pitchFamily="34" charset="0"/>
                <a:ea typeface="+mn-ea"/>
                <a:cs typeface="+mn-cs"/>
              </a:endParaRPr>
            </a:p>
          </xdr:txBody>
        </xdr:sp>
      </xdr:grpSp>
      <xdr:grpSp>
        <xdr:nvGrpSpPr>
          <xdr:cNvPr id="17" name="Group 16">
            <a:extLst>
              <a:ext uri="{FF2B5EF4-FFF2-40B4-BE49-F238E27FC236}">
                <a16:creationId xmlns:a16="http://schemas.microsoft.com/office/drawing/2014/main" id="{8E011D7C-3884-4192-8BEE-F8596016FBB4}"/>
              </a:ext>
            </a:extLst>
          </xdr:cNvPr>
          <xdr:cNvGrpSpPr/>
        </xdr:nvGrpSpPr>
        <xdr:grpSpPr>
          <a:xfrm>
            <a:off x="5526502" y="1579936"/>
            <a:ext cx="4217721" cy="1371600"/>
            <a:chOff x="283276" y="1749137"/>
            <a:chExt cx="4174425" cy="1371600"/>
          </a:xfrm>
        </xdr:grpSpPr>
        <xdr:sp macro="" textlink="">
          <xdr:nvSpPr>
            <xdr:cNvPr id="18" name="Rectangle: Rounded Corners 17">
              <a:extLst>
                <a:ext uri="{FF2B5EF4-FFF2-40B4-BE49-F238E27FC236}">
                  <a16:creationId xmlns:a16="http://schemas.microsoft.com/office/drawing/2014/main" id="{A4F8DAAC-47DD-94E3-A578-418AC6843871}"/>
                </a:ext>
              </a:extLst>
            </xdr:cNvPr>
            <xdr:cNvSpPr/>
          </xdr:nvSpPr>
          <xdr:spPr>
            <a:xfrm>
              <a:off x="283276" y="1749137"/>
              <a:ext cx="4174425" cy="1371600"/>
            </a:xfrm>
            <a:prstGeom prst="roundRect">
              <a:avLst>
                <a:gd name="adj" fmla="val 12585"/>
              </a:avLst>
            </a:prstGeom>
            <a:solidFill>
              <a:srgbClr val="0F2854"/>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cap="all" baseline="0">
                <a:solidFill>
                  <a:schemeClr val="bg1"/>
                </a:solidFill>
              </a:endParaRPr>
            </a:p>
          </xdr:txBody>
        </xdr:sp>
        <xdr:sp macro="" textlink="">
          <xdr:nvSpPr>
            <xdr:cNvPr id="19" name="TextBox 18">
              <a:extLst>
                <a:ext uri="{FF2B5EF4-FFF2-40B4-BE49-F238E27FC236}">
                  <a16:creationId xmlns:a16="http://schemas.microsoft.com/office/drawing/2014/main" id="{AAB6BBE3-1B12-1E67-38CF-11BCF54CE622}"/>
                </a:ext>
              </a:extLst>
            </xdr:cNvPr>
            <xdr:cNvSpPr txBox="1"/>
          </xdr:nvSpPr>
          <xdr:spPr>
            <a:xfrm>
              <a:off x="978633" y="1749137"/>
              <a:ext cx="2783711" cy="5849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3200" b="1" cap="all" baseline="0">
                  <a:solidFill>
                    <a:srgbClr val="BDE8F5"/>
                  </a:solidFill>
                  <a:latin typeface="Bahnschrift SemiBold" panose="020B0502040204020203" pitchFamily="34" charset="0"/>
                </a:rPr>
                <a:t>Total Profit</a:t>
              </a:r>
            </a:p>
          </xdr:txBody>
        </xdr:sp>
        <xdr:sp macro="" textlink="Tables!C5">
          <xdr:nvSpPr>
            <xdr:cNvPr id="27" name="TextBox 26">
              <a:extLst>
                <a:ext uri="{FF2B5EF4-FFF2-40B4-BE49-F238E27FC236}">
                  <a16:creationId xmlns:a16="http://schemas.microsoft.com/office/drawing/2014/main" id="{90C82DF1-F952-73A3-08C7-AB388B7F2ED7}"/>
                </a:ext>
              </a:extLst>
            </xdr:cNvPr>
            <xdr:cNvSpPr txBox="1"/>
          </xdr:nvSpPr>
          <xdr:spPr>
            <a:xfrm>
              <a:off x="1471139" y="2409265"/>
              <a:ext cx="1798698" cy="51868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3B9AA19F-ED4B-431C-AE0F-3EA59DB381B3}" type="TxLink">
                <a:rPr lang="en-US" sz="3200" b="1" cap="all" baseline="0">
                  <a:solidFill>
                    <a:schemeClr val="bg1"/>
                  </a:solidFill>
                  <a:latin typeface="Bahnschrift SemiBold" panose="020B0502040204020203" pitchFamily="34" charset="0"/>
                  <a:ea typeface="+mn-ea"/>
                  <a:cs typeface="+mn-cs"/>
                </a:rPr>
                <a:pPr marL="0" indent="0" algn="ctr"/>
                <a:t>1,610,697</a:t>
              </a:fld>
              <a:endParaRPr lang="en-US" sz="3200" b="1" cap="all" baseline="0">
                <a:solidFill>
                  <a:schemeClr val="bg1"/>
                </a:solidFill>
                <a:latin typeface="Bahnschrift SemiBold" panose="020B0502040204020203" pitchFamily="34" charset="0"/>
                <a:ea typeface="+mn-ea"/>
                <a:cs typeface="+mn-cs"/>
              </a:endParaRPr>
            </a:p>
          </xdr:txBody>
        </xdr:sp>
      </xdr:grpSp>
      <xdr:grpSp>
        <xdr:nvGrpSpPr>
          <xdr:cNvPr id="21" name="Group 20">
            <a:extLst>
              <a:ext uri="{FF2B5EF4-FFF2-40B4-BE49-F238E27FC236}">
                <a16:creationId xmlns:a16="http://schemas.microsoft.com/office/drawing/2014/main" id="{4E9FED26-6BF4-22CE-D90C-DEEB5F00B47E}"/>
              </a:ext>
            </a:extLst>
          </xdr:cNvPr>
          <xdr:cNvGrpSpPr/>
        </xdr:nvGrpSpPr>
        <xdr:grpSpPr>
          <a:xfrm>
            <a:off x="10888174" y="1579936"/>
            <a:ext cx="4217720" cy="1371600"/>
            <a:chOff x="10888174" y="1579936"/>
            <a:chExt cx="4217720" cy="1371600"/>
          </a:xfrm>
        </xdr:grpSpPr>
        <xdr:sp macro="" textlink="">
          <xdr:nvSpPr>
            <xdr:cNvPr id="31" name="Rectangle: Rounded Corners 30">
              <a:extLst>
                <a:ext uri="{FF2B5EF4-FFF2-40B4-BE49-F238E27FC236}">
                  <a16:creationId xmlns:a16="http://schemas.microsoft.com/office/drawing/2014/main" id="{903FFB04-A8FA-3A56-3672-ED1F22A1DEA4}"/>
                </a:ext>
              </a:extLst>
            </xdr:cNvPr>
            <xdr:cNvSpPr/>
          </xdr:nvSpPr>
          <xdr:spPr>
            <a:xfrm>
              <a:off x="10888174" y="1579936"/>
              <a:ext cx="4217720" cy="1371600"/>
            </a:xfrm>
            <a:prstGeom prst="roundRect">
              <a:avLst>
                <a:gd name="adj" fmla="val 12585"/>
              </a:avLst>
            </a:prstGeom>
            <a:solidFill>
              <a:srgbClr val="0F2854"/>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cap="all" baseline="0">
                <a:solidFill>
                  <a:schemeClr val="bg1"/>
                </a:solidFill>
              </a:endParaRPr>
            </a:p>
          </xdr:txBody>
        </xdr:sp>
        <xdr:sp macro="" textlink="">
          <xdr:nvSpPr>
            <xdr:cNvPr id="32" name="TextBox 31">
              <a:extLst>
                <a:ext uri="{FF2B5EF4-FFF2-40B4-BE49-F238E27FC236}">
                  <a16:creationId xmlns:a16="http://schemas.microsoft.com/office/drawing/2014/main" id="{8D3EEBB3-AD98-7892-FE51-6247C43FED1B}"/>
                </a:ext>
              </a:extLst>
            </xdr:cNvPr>
            <xdr:cNvSpPr txBox="1"/>
          </xdr:nvSpPr>
          <xdr:spPr>
            <a:xfrm>
              <a:off x="11410853" y="1586348"/>
              <a:ext cx="3172363" cy="5849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3200" b="1" cap="all" baseline="0">
                  <a:solidFill>
                    <a:srgbClr val="BDE8F5"/>
                  </a:solidFill>
                  <a:latin typeface="Bahnschrift SemiBold" panose="020B0502040204020203" pitchFamily="34" charset="0"/>
                </a:rPr>
                <a:t>Profit Margin</a:t>
              </a:r>
            </a:p>
          </xdr:txBody>
        </xdr:sp>
        <xdr:sp macro="" textlink="Tables!D5">
          <xdr:nvSpPr>
            <xdr:cNvPr id="33" name="TextBox 32">
              <a:extLst>
                <a:ext uri="{FF2B5EF4-FFF2-40B4-BE49-F238E27FC236}">
                  <a16:creationId xmlns:a16="http://schemas.microsoft.com/office/drawing/2014/main" id="{4FB95C08-824F-D083-0E14-DF7F4B3D5662}"/>
                </a:ext>
              </a:extLst>
            </xdr:cNvPr>
            <xdr:cNvSpPr txBox="1"/>
          </xdr:nvSpPr>
          <xdr:spPr>
            <a:xfrm>
              <a:off x="12088408" y="2246476"/>
              <a:ext cx="1817253" cy="51868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DAB9C1BF-CF8B-4256-9776-C5880F571729}" type="TxLink">
                <a:rPr lang="en-US" sz="3200" b="1" cap="all" baseline="0">
                  <a:solidFill>
                    <a:schemeClr val="bg1"/>
                  </a:solidFill>
                  <a:latin typeface="Bahnschrift SemiBold" panose="020B0502040204020203" pitchFamily="34" charset="0"/>
                  <a:ea typeface="+mn-ea"/>
                  <a:cs typeface="+mn-cs"/>
                </a:rPr>
                <a:pPr marL="0" indent="0" algn="ctr"/>
                <a:t>26.05%</a:t>
              </a:fld>
              <a:endParaRPr lang="en-US" sz="3200" b="1" cap="all" baseline="0">
                <a:solidFill>
                  <a:schemeClr val="bg1"/>
                </a:solidFill>
                <a:latin typeface="Bahnschrift SemiBold" panose="020B0502040204020203" pitchFamily="34" charset="0"/>
                <a:ea typeface="+mn-ea"/>
                <a:cs typeface="+mn-cs"/>
              </a:endParaRPr>
            </a:p>
          </xdr:txBody>
        </xdr:sp>
      </xdr:grpSp>
      <xdr:grpSp>
        <xdr:nvGrpSpPr>
          <xdr:cNvPr id="35" name="Group 34">
            <a:extLst>
              <a:ext uri="{FF2B5EF4-FFF2-40B4-BE49-F238E27FC236}">
                <a16:creationId xmlns:a16="http://schemas.microsoft.com/office/drawing/2014/main" id="{82DB41D5-F657-415F-B49A-74BC5939C02E}"/>
              </a:ext>
            </a:extLst>
          </xdr:cNvPr>
          <xdr:cNvGrpSpPr/>
        </xdr:nvGrpSpPr>
        <xdr:grpSpPr>
          <a:xfrm>
            <a:off x="16249845" y="1573524"/>
            <a:ext cx="4217720" cy="1384424"/>
            <a:chOff x="283276" y="1736313"/>
            <a:chExt cx="4174425" cy="1384424"/>
          </a:xfrm>
        </xdr:grpSpPr>
        <xdr:sp macro="" textlink="">
          <xdr:nvSpPr>
            <xdr:cNvPr id="36" name="Rectangle: Rounded Corners 35">
              <a:extLst>
                <a:ext uri="{FF2B5EF4-FFF2-40B4-BE49-F238E27FC236}">
                  <a16:creationId xmlns:a16="http://schemas.microsoft.com/office/drawing/2014/main" id="{D01F5E26-87BD-C444-C751-0857422BCDA0}"/>
                </a:ext>
              </a:extLst>
            </xdr:cNvPr>
            <xdr:cNvSpPr/>
          </xdr:nvSpPr>
          <xdr:spPr>
            <a:xfrm>
              <a:off x="283276" y="1749137"/>
              <a:ext cx="4174425" cy="1371600"/>
            </a:xfrm>
            <a:prstGeom prst="roundRect">
              <a:avLst>
                <a:gd name="adj" fmla="val 12585"/>
              </a:avLst>
            </a:prstGeom>
            <a:solidFill>
              <a:srgbClr val="0F2854"/>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cap="all" baseline="0">
                <a:solidFill>
                  <a:schemeClr val="bg1"/>
                </a:solidFill>
              </a:endParaRPr>
            </a:p>
          </xdr:txBody>
        </xdr:sp>
        <xdr:sp macro="" textlink="">
          <xdr:nvSpPr>
            <xdr:cNvPr id="37" name="TextBox 36">
              <a:extLst>
                <a:ext uri="{FF2B5EF4-FFF2-40B4-BE49-F238E27FC236}">
                  <a16:creationId xmlns:a16="http://schemas.microsoft.com/office/drawing/2014/main" id="{3F56C71D-32F7-C2A5-6967-068F400ACE98}"/>
                </a:ext>
              </a:extLst>
            </xdr:cNvPr>
            <xdr:cNvSpPr txBox="1"/>
          </xdr:nvSpPr>
          <xdr:spPr>
            <a:xfrm>
              <a:off x="1075615" y="1736313"/>
              <a:ext cx="2589748" cy="61055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3200" b="1" cap="all" baseline="0">
                  <a:solidFill>
                    <a:srgbClr val="BDE8F5"/>
                  </a:solidFill>
                  <a:latin typeface="Bahnschrift SemiBold" panose="020B0502040204020203" pitchFamily="34" charset="0"/>
                  <a:ea typeface="+mn-ea"/>
                  <a:cs typeface="+mn-cs"/>
                </a:rPr>
                <a:t>Total</a:t>
              </a:r>
              <a:r>
                <a:rPr lang="en-US" sz="1100" b="1" i="0" u="none" strike="noStrike">
                  <a:solidFill>
                    <a:srgbClr val="BDE8F5"/>
                  </a:solidFill>
                  <a:effectLst/>
                  <a:latin typeface="+mn-lt"/>
                  <a:ea typeface="+mn-ea"/>
                  <a:cs typeface="+mn-cs"/>
                </a:rPr>
                <a:t> </a:t>
              </a:r>
              <a:r>
                <a:rPr lang="en-US" sz="3200" b="1" cap="all" baseline="0">
                  <a:solidFill>
                    <a:srgbClr val="BDE8F5"/>
                  </a:solidFill>
                  <a:latin typeface="Bahnschrift SemiBold" panose="020B0502040204020203" pitchFamily="34" charset="0"/>
                  <a:ea typeface="+mn-ea"/>
                  <a:cs typeface="+mn-cs"/>
                </a:rPr>
                <a:t>Units</a:t>
              </a:r>
              <a:r>
                <a:rPr lang="en-US" sz="3200">
                  <a:solidFill>
                    <a:srgbClr val="BDE8F5"/>
                  </a:solidFill>
                  <a:effectLst/>
                </a:rPr>
                <a:t> </a:t>
              </a:r>
              <a:endParaRPr lang="en-US" sz="3200" b="1" cap="all" baseline="0">
                <a:solidFill>
                  <a:srgbClr val="BDE8F5"/>
                </a:solidFill>
                <a:latin typeface="Bahnschrift SemiBold" panose="020B0502040204020203" pitchFamily="34" charset="0"/>
              </a:endParaRPr>
            </a:p>
          </xdr:txBody>
        </xdr:sp>
        <xdr:sp macro="" textlink="Tables!E5">
          <xdr:nvSpPr>
            <xdr:cNvPr id="38" name="TextBox 37">
              <a:extLst>
                <a:ext uri="{FF2B5EF4-FFF2-40B4-BE49-F238E27FC236}">
                  <a16:creationId xmlns:a16="http://schemas.microsoft.com/office/drawing/2014/main" id="{E5644422-8898-9A6D-0864-28D7FB2CC0B9}"/>
                </a:ext>
              </a:extLst>
            </xdr:cNvPr>
            <xdr:cNvSpPr txBox="1"/>
          </xdr:nvSpPr>
          <xdr:spPr>
            <a:xfrm>
              <a:off x="1725728" y="2376157"/>
              <a:ext cx="1289519" cy="5849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D8B90D66-61E3-474D-B08A-F2BBF689C81C}" type="TxLink">
                <a:rPr lang="en-US" sz="3200" b="1" cap="all" baseline="0">
                  <a:solidFill>
                    <a:schemeClr val="bg1"/>
                  </a:solidFill>
                  <a:latin typeface="Bahnschrift SemiBold" panose="020B0502040204020203" pitchFamily="34" charset="0"/>
                  <a:ea typeface="+mn-ea"/>
                  <a:cs typeface="+mn-cs"/>
                </a:rPr>
                <a:pPr marL="0" indent="0" algn="ctr"/>
                <a:t>12,745</a:t>
              </a:fld>
              <a:endParaRPr lang="en-US" sz="3200" b="1" cap="all" baseline="0">
                <a:solidFill>
                  <a:schemeClr val="bg1"/>
                </a:solidFill>
                <a:latin typeface="Bahnschrift SemiBold" panose="020B0502040204020203" pitchFamily="34" charset="0"/>
                <a:ea typeface="+mn-ea"/>
                <a:cs typeface="+mn-cs"/>
              </a:endParaRPr>
            </a:p>
          </xdr:txBody>
        </xdr:sp>
      </xdr:grpSp>
    </xdr:grpSp>
    <xdr:clientData/>
  </xdr:twoCellAnchor>
  <xdr:twoCellAnchor>
    <xdr:from>
      <xdr:col>35</xdr:col>
      <xdr:colOff>484307</xdr:colOff>
      <xdr:row>8</xdr:row>
      <xdr:rowOff>62348</xdr:rowOff>
    </xdr:from>
    <xdr:to>
      <xdr:col>41</xdr:col>
      <xdr:colOff>413830</xdr:colOff>
      <xdr:row>11</xdr:row>
      <xdr:rowOff>75752</xdr:rowOff>
    </xdr:to>
    <xdr:sp macro="" textlink="">
      <xdr:nvSpPr>
        <xdr:cNvPr id="41" name="TextBox 40">
          <a:extLst>
            <a:ext uri="{FF2B5EF4-FFF2-40B4-BE49-F238E27FC236}">
              <a16:creationId xmlns:a16="http://schemas.microsoft.com/office/drawing/2014/main" id="{C6A150DF-F293-93E1-1BF9-C7C46DE223DC}"/>
            </a:ext>
          </a:extLst>
        </xdr:cNvPr>
        <xdr:cNvSpPr txBox="1"/>
      </xdr:nvSpPr>
      <xdr:spPr>
        <a:xfrm>
          <a:off x="21699080" y="1586348"/>
          <a:ext cx="3566341" cy="5849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3200" b="1" cap="all" baseline="0">
              <a:solidFill>
                <a:srgbClr val="BDE8F5"/>
              </a:solidFill>
              <a:latin typeface="Bahnschrift SemiBold" panose="020B0502040204020203" pitchFamily="34" charset="0"/>
            </a:rPr>
            <a:t>Sales Growth %</a:t>
          </a:r>
        </a:p>
      </xdr:txBody>
    </xdr:sp>
    <xdr:clientData/>
  </xdr:twoCellAnchor>
  <xdr:twoCellAnchor>
    <xdr:from>
      <xdr:col>37</xdr:col>
      <xdr:colOff>155856</xdr:colOff>
      <xdr:row>11</xdr:row>
      <xdr:rowOff>150976</xdr:rowOff>
    </xdr:from>
    <xdr:to>
      <xdr:col>40</xdr:col>
      <xdr:colOff>136144</xdr:colOff>
      <xdr:row>14</xdr:row>
      <xdr:rowOff>98164</xdr:rowOff>
    </xdr:to>
    <xdr:sp macro="" textlink="Tables!F5">
      <xdr:nvSpPr>
        <xdr:cNvPr id="42" name="TextBox 41">
          <a:extLst>
            <a:ext uri="{FF2B5EF4-FFF2-40B4-BE49-F238E27FC236}">
              <a16:creationId xmlns:a16="http://schemas.microsoft.com/office/drawing/2014/main" id="{353F255D-B960-7C41-D3B1-25BC0C8DB9B7}"/>
            </a:ext>
          </a:extLst>
        </xdr:cNvPr>
        <xdr:cNvSpPr txBox="1"/>
      </xdr:nvSpPr>
      <xdr:spPr>
        <a:xfrm>
          <a:off x="22582901" y="2246476"/>
          <a:ext cx="1798698" cy="518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F934AF85-1866-45F8-B5B0-FF465BF3BCA0}" type="TxLink">
            <a:rPr lang="en-US" sz="3200" b="1" i="0" u="none" strike="noStrike" cap="all" baseline="0">
              <a:solidFill>
                <a:schemeClr val="bg1"/>
              </a:solidFill>
              <a:latin typeface="Calibri"/>
              <a:ea typeface="+mn-ea"/>
              <a:cs typeface="Calibri"/>
            </a:rPr>
            <a:pPr marL="0" indent="0" algn="ctr"/>
            <a:t>4.21%</a:t>
          </a:fld>
          <a:endParaRPr lang="en-US" sz="3200" b="1" cap="all" baseline="0">
            <a:solidFill>
              <a:schemeClr val="bg1"/>
            </a:solidFill>
            <a:latin typeface="Bahnschrift SemiBold" panose="020B0502040204020203" pitchFamily="34" charset="0"/>
            <a:ea typeface="+mn-ea"/>
            <a:cs typeface="+mn-cs"/>
          </a:endParaRPr>
        </a:p>
      </xdr:txBody>
    </xdr:sp>
    <xdr:clientData/>
  </xdr:twoCellAnchor>
  <xdr:twoCellAnchor>
    <xdr:from>
      <xdr:col>37</xdr:col>
      <xdr:colOff>500945</xdr:colOff>
      <xdr:row>28</xdr:row>
      <xdr:rowOff>136320</xdr:rowOff>
    </xdr:from>
    <xdr:to>
      <xdr:col>42</xdr:col>
      <xdr:colOff>110593</xdr:colOff>
      <xdr:row>46</xdr:row>
      <xdr:rowOff>153638</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1FCA6A3D-0449-4A60-98F1-BE19B41C9B0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2927990" y="5470320"/>
              <a:ext cx="2640330" cy="3446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500945</xdr:colOff>
      <xdr:row>17</xdr:row>
      <xdr:rowOff>17318</xdr:rowOff>
    </xdr:from>
    <xdr:to>
      <xdr:col>42</xdr:col>
      <xdr:colOff>110593</xdr:colOff>
      <xdr:row>28</xdr:row>
      <xdr:rowOff>18308</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F7E6B1FD-0BB2-46BC-BDCC-F3C36F7B75C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3156838" y="3255818"/>
              <a:ext cx="2671255" cy="2096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500945</xdr:colOff>
      <xdr:row>47</xdr:row>
      <xdr:rowOff>81150</xdr:rowOff>
    </xdr:from>
    <xdr:to>
      <xdr:col>42</xdr:col>
      <xdr:colOff>110593</xdr:colOff>
      <xdr:row>64</xdr:row>
      <xdr:rowOff>11875</xdr:rowOff>
    </xdr:to>
    <mc:AlternateContent xmlns:mc="http://schemas.openxmlformats.org/markup-compatibility/2006" xmlns:a14="http://schemas.microsoft.com/office/drawing/2010/main">
      <mc:Choice Requires="a14">
        <xdr:graphicFrame macro="">
          <xdr:nvGraphicFramePr>
            <xdr:cNvPr id="5" name="PaymentMode 1">
              <a:extLst>
                <a:ext uri="{FF2B5EF4-FFF2-40B4-BE49-F238E27FC236}">
                  <a16:creationId xmlns:a16="http://schemas.microsoft.com/office/drawing/2014/main" id="{0BAFAE2C-4029-445C-8738-8C7CCA37C615}"/>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mlns="">
        <xdr:sp macro="" textlink="">
          <xdr:nvSpPr>
            <xdr:cNvPr id="0" name=""/>
            <xdr:cNvSpPr>
              <a:spLocks noTextEdit="1"/>
            </xdr:cNvSpPr>
          </xdr:nvSpPr>
          <xdr:spPr>
            <a:xfrm>
              <a:off x="22927990" y="9034650"/>
              <a:ext cx="2640330" cy="316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499802</xdr:colOff>
      <xdr:row>64</xdr:row>
      <xdr:rowOff>129887</xdr:rowOff>
    </xdr:from>
    <xdr:to>
      <xdr:col>42</xdr:col>
      <xdr:colOff>111736</xdr:colOff>
      <xdr:row>75</xdr:row>
      <xdr:rowOff>17318</xdr:rowOff>
    </xdr:to>
    <mc:AlternateContent xmlns:mc="http://schemas.openxmlformats.org/markup-compatibility/2006" xmlns:a14="http://schemas.microsoft.com/office/drawing/2010/main">
      <mc:Choice Requires="a14">
        <xdr:graphicFrame macro="">
          <xdr:nvGraphicFramePr>
            <xdr:cNvPr id="47" name="Year">
              <a:extLst>
                <a:ext uri="{FF2B5EF4-FFF2-40B4-BE49-F238E27FC236}">
                  <a16:creationId xmlns:a16="http://schemas.microsoft.com/office/drawing/2014/main" id="{7AB1B26A-DB3B-621C-C26E-4A509AED4A8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926847" y="12321887"/>
              <a:ext cx="2642616" cy="1982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51027</xdr:colOff>
      <xdr:row>45</xdr:row>
      <xdr:rowOff>168694</xdr:rowOff>
    </xdr:from>
    <xdr:to>
      <xdr:col>37</xdr:col>
      <xdr:colOff>82200</xdr:colOff>
      <xdr:row>74</xdr:row>
      <xdr:rowOff>130594</xdr:rowOff>
    </xdr:to>
    <xdr:graphicFrame macro="">
      <xdr:nvGraphicFramePr>
        <xdr:cNvPr id="20" name="Distribution of Units by Category">
          <a:extLst>
            <a:ext uri="{FF2B5EF4-FFF2-40B4-BE49-F238E27FC236}">
              <a16:creationId xmlns:a16="http://schemas.microsoft.com/office/drawing/2014/main" id="{5ED9B25D-BE3B-4A9A-9EC9-E72220E04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51027</xdr:colOff>
      <xdr:row>16</xdr:row>
      <xdr:rowOff>121226</xdr:rowOff>
    </xdr:from>
    <xdr:to>
      <xdr:col>37</xdr:col>
      <xdr:colOff>82200</xdr:colOff>
      <xdr:row>45</xdr:row>
      <xdr:rowOff>83126</xdr:rowOff>
    </xdr:to>
    <xdr:graphicFrame macro="">
      <xdr:nvGraphicFramePr>
        <xdr:cNvPr id="44" name="Chart 43">
          <a:extLst>
            <a:ext uri="{FF2B5EF4-FFF2-40B4-BE49-F238E27FC236}">
              <a16:creationId xmlns:a16="http://schemas.microsoft.com/office/drawing/2014/main" id="{A5C8CF03-B591-4B2A-8159-215338EEB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261583</xdr:colOff>
      <xdr:row>16</xdr:row>
      <xdr:rowOff>121226</xdr:rowOff>
    </xdr:from>
    <xdr:to>
      <xdr:col>27</xdr:col>
      <xdr:colOff>508194</xdr:colOff>
      <xdr:row>36</xdr:row>
      <xdr:rowOff>122464</xdr:rowOff>
    </xdr:to>
    <xdr:graphicFrame macro="">
      <xdr:nvGraphicFramePr>
        <xdr:cNvPr id="16" name="Sales by Year">
          <a:extLst>
            <a:ext uri="{FF2B5EF4-FFF2-40B4-BE49-F238E27FC236}">
              <a16:creationId xmlns:a16="http://schemas.microsoft.com/office/drawing/2014/main" id="{4347A660-0C42-4225-B70B-30D2CFEDA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261583</xdr:colOff>
      <xdr:row>37</xdr:row>
      <xdr:rowOff>68036</xdr:rowOff>
    </xdr:from>
    <xdr:to>
      <xdr:col>27</xdr:col>
      <xdr:colOff>508194</xdr:colOff>
      <xdr:row>74</xdr:row>
      <xdr:rowOff>135081</xdr:rowOff>
    </xdr:to>
    <xdr:graphicFrame macro="">
      <xdr:nvGraphicFramePr>
        <xdr:cNvPr id="6" name="Chart 5">
          <a:extLst>
            <a:ext uri="{FF2B5EF4-FFF2-40B4-BE49-F238E27FC236}">
              <a16:creationId xmlns:a16="http://schemas.microsoft.com/office/drawing/2014/main" id="{C8FBFE1D-3E29-48F9-871B-9FB7A948E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158385</xdr:colOff>
      <xdr:row>16</xdr:row>
      <xdr:rowOff>121226</xdr:rowOff>
    </xdr:from>
    <xdr:to>
      <xdr:col>13</xdr:col>
      <xdr:colOff>106430</xdr:colOff>
      <xdr:row>50</xdr:row>
      <xdr:rowOff>81643</xdr:rowOff>
    </xdr:to>
    <xdr:graphicFrame macro="">
      <xdr:nvGraphicFramePr>
        <xdr:cNvPr id="15" name="Total Sales per City">
          <a:extLst>
            <a:ext uri="{FF2B5EF4-FFF2-40B4-BE49-F238E27FC236}">
              <a16:creationId xmlns:a16="http://schemas.microsoft.com/office/drawing/2014/main" id="{73479202-5A4D-42A2-8A8B-302F8AE8A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158662</xdr:colOff>
      <xdr:row>50</xdr:row>
      <xdr:rowOff>163287</xdr:rowOff>
    </xdr:from>
    <xdr:to>
      <xdr:col>13</xdr:col>
      <xdr:colOff>106153</xdr:colOff>
      <xdr:row>74</xdr:row>
      <xdr:rowOff>136071</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F1F11316-93EE-4756-BCE7-B10A458562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8662" y="9688287"/>
              <a:ext cx="7907670" cy="45447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108857</xdr:colOff>
      <xdr:row>32</xdr:row>
      <xdr:rowOff>163284</xdr:rowOff>
    </xdr:from>
    <xdr:to>
      <xdr:col>13</xdr:col>
      <xdr:colOff>122464</xdr:colOff>
      <xdr:row>72</xdr:row>
      <xdr:rowOff>190499</xdr:rowOff>
    </xdr:to>
    <xdr:cxnSp macro="">
      <xdr:nvCxnSpPr>
        <xdr:cNvPr id="30" name="Straight Connector 29">
          <a:extLst>
            <a:ext uri="{FF2B5EF4-FFF2-40B4-BE49-F238E27FC236}">
              <a16:creationId xmlns:a16="http://schemas.microsoft.com/office/drawing/2014/main" id="{9F9A6C74-CE5D-47E9-3C5E-2712F59301C7}"/>
            </a:ext>
          </a:extLst>
        </xdr:cNvPr>
        <xdr:cNvCxnSpPr/>
      </xdr:nvCxnSpPr>
      <xdr:spPr>
        <a:xfrm flipH="1">
          <a:off x="8069036" y="6259284"/>
          <a:ext cx="13607" cy="7647215"/>
        </a:xfrm>
        <a:prstGeom prst="line">
          <a:avLst/>
        </a:prstGeom>
        <a:ln w="57150">
          <a:solidFill>
            <a:srgbClr val="0F285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261583</xdr:colOff>
      <xdr:row>37</xdr:row>
      <xdr:rowOff>81020</xdr:rowOff>
    </xdr:from>
    <xdr:to>
      <xdr:col>27</xdr:col>
      <xdr:colOff>508194</xdr:colOff>
      <xdr:row>37</xdr:row>
      <xdr:rowOff>81020</xdr:rowOff>
    </xdr:to>
    <xdr:cxnSp macro="">
      <xdr:nvCxnSpPr>
        <xdr:cNvPr id="46" name="Straight Connector 45">
          <a:extLst>
            <a:ext uri="{FF2B5EF4-FFF2-40B4-BE49-F238E27FC236}">
              <a16:creationId xmlns:a16="http://schemas.microsoft.com/office/drawing/2014/main" id="{514A21E5-6E48-4967-9A7C-FCC8BEF9A369}"/>
            </a:ext>
          </a:extLst>
        </xdr:cNvPr>
        <xdr:cNvCxnSpPr/>
      </xdr:nvCxnSpPr>
      <xdr:spPr>
        <a:xfrm flipH="1">
          <a:off x="8221762" y="7129520"/>
          <a:ext cx="8819111" cy="0"/>
        </a:xfrm>
        <a:prstGeom prst="line">
          <a:avLst/>
        </a:prstGeom>
        <a:ln w="57150">
          <a:solidFill>
            <a:srgbClr val="0F285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2722</xdr:colOff>
      <xdr:row>18</xdr:row>
      <xdr:rowOff>57150</xdr:rowOff>
    </xdr:from>
    <xdr:to>
      <xdr:col>28</xdr:col>
      <xdr:colOff>16329</xdr:colOff>
      <xdr:row>58</xdr:row>
      <xdr:rowOff>84365</xdr:rowOff>
    </xdr:to>
    <xdr:cxnSp macro="">
      <xdr:nvCxnSpPr>
        <xdr:cNvPr id="51" name="Straight Connector 50">
          <a:extLst>
            <a:ext uri="{FF2B5EF4-FFF2-40B4-BE49-F238E27FC236}">
              <a16:creationId xmlns:a16="http://schemas.microsoft.com/office/drawing/2014/main" id="{1CDC0CB8-1CF8-4273-99A5-1A9E705CE484}"/>
            </a:ext>
          </a:extLst>
        </xdr:cNvPr>
        <xdr:cNvCxnSpPr/>
      </xdr:nvCxnSpPr>
      <xdr:spPr>
        <a:xfrm flipH="1">
          <a:off x="17147722" y="3486150"/>
          <a:ext cx="13607" cy="7647215"/>
        </a:xfrm>
        <a:prstGeom prst="line">
          <a:avLst/>
        </a:prstGeom>
        <a:ln w="57150">
          <a:solidFill>
            <a:srgbClr val="0F285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223484</xdr:colOff>
      <xdr:row>50</xdr:row>
      <xdr:rowOff>165385</xdr:rowOff>
    </xdr:from>
    <xdr:to>
      <xdr:col>13</xdr:col>
      <xdr:colOff>27214</xdr:colOff>
      <xdr:row>50</xdr:row>
      <xdr:rowOff>176893</xdr:rowOff>
    </xdr:to>
    <xdr:cxnSp macro="">
      <xdr:nvCxnSpPr>
        <xdr:cNvPr id="52" name="Straight Connector 51">
          <a:extLst>
            <a:ext uri="{FF2B5EF4-FFF2-40B4-BE49-F238E27FC236}">
              <a16:creationId xmlns:a16="http://schemas.microsoft.com/office/drawing/2014/main" id="{B5F5D16D-34F5-4B8E-AF6B-524F1557E0F6}"/>
            </a:ext>
          </a:extLst>
        </xdr:cNvPr>
        <xdr:cNvCxnSpPr/>
      </xdr:nvCxnSpPr>
      <xdr:spPr>
        <a:xfrm flipH="1" flipV="1">
          <a:off x="223484" y="9690385"/>
          <a:ext cx="7763909" cy="11508"/>
        </a:xfrm>
        <a:prstGeom prst="line">
          <a:avLst/>
        </a:prstGeom>
        <a:ln w="57150">
          <a:solidFill>
            <a:srgbClr val="0F2854"/>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149679</xdr:colOff>
      <xdr:row>45</xdr:row>
      <xdr:rowOff>68036</xdr:rowOff>
    </xdr:from>
    <xdr:to>
      <xdr:col>37</xdr:col>
      <xdr:colOff>402059</xdr:colOff>
      <xdr:row>45</xdr:row>
      <xdr:rowOff>97348</xdr:rowOff>
    </xdr:to>
    <xdr:cxnSp macro="">
      <xdr:nvCxnSpPr>
        <xdr:cNvPr id="54" name="Straight Connector 53">
          <a:extLst>
            <a:ext uri="{FF2B5EF4-FFF2-40B4-BE49-F238E27FC236}">
              <a16:creationId xmlns:a16="http://schemas.microsoft.com/office/drawing/2014/main" id="{AD8AE623-C096-4020-9E8B-29549321321A}"/>
            </a:ext>
          </a:extLst>
        </xdr:cNvPr>
        <xdr:cNvCxnSpPr/>
      </xdr:nvCxnSpPr>
      <xdr:spPr>
        <a:xfrm flipH="1" flipV="1">
          <a:off x="17294679" y="8640536"/>
          <a:ext cx="5763273" cy="29312"/>
        </a:xfrm>
        <a:prstGeom prst="line">
          <a:avLst/>
        </a:prstGeom>
        <a:ln w="57150">
          <a:solidFill>
            <a:srgbClr val="0F2854"/>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men Soliman" refreshedDate="46094.680589236108" createdVersion="8" refreshedVersion="8" minRefreshableVersion="3" recordCount="0" supportSubquery="1" supportAdvancedDrill="1" xr:uid="{DE406B44-2182-43BC-ABD6-680B180B274C}">
  <cacheSource type="external" connectionId="3"/>
  <cacheFields count="6">
    <cacheField name="[Sales_Dataset].[State].[State]" caption="State" numFmtId="0" hierarchy="17" level="1">
      <sharedItems count="6">
        <s v="California"/>
        <s v="Florida"/>
        <s v="Illinois"/>
        <s v="New York"/>
        <s v="Ohio"/>
        <s v="Texas"/>
      </sharedItems>
    </cacheField>
    <cacheField name="[Measures].[Total Sales]" caption="Total Sales" numFmtId="0" hierarchy="24" level="32767"/>
    <cacheField name="[Sales_Dataset].[City].[City]" caption="City" numFmtId="0" hierarchy="18" level="1">
      <sharedItems count="18">
        <s v="Los Angeles"/>
        <s v="San Diego"/>
        <s v="San Francisco"/>
        <s v="Miami"/>
        <s v="Orlando"/>
        <s v="Tampa"/>
        <s v="Chicago"/>
        <s v="Peoria"/>
        <s v="Springfield"/>
        <s v="Buffalo"/>
        <s v="New York City"/>
        <s v="Rochester"/>
        <s v="Cincinnati"/>
        <s v="Cleveland"/>
        <s v="Columbus"/>
        <s v="Austin"/>
        <s v="Dallas"/>
        <s v="Houston"/>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State]" caption="State" attribute="1" defaultMemberUniqueName="[Sales_Dataset].[State].[All]" allUniqueName="[Sales_Dataset].[State].[All]" dimensionUniqueName="[Sales_Dataset]" displayFolder="" count="2" memberValueDatatype="130" unbalanced="0">
      <fieldsUsage count="2">
        <fieldUsage x="-1"/>
        <fieldUsage x="0"/>
      </fieldsUsage>
    </cacheHierarchy>
    <cacheHierarchy uniqueName="[Sales_Dataset].[City]" caption="City" attribute="1" defaultMemberUniqueName="[Sales_Dataset].[City].[All]" allUniqueName="[Sales_Dataset].[City].[All]" dimensionUniqueName="[Sales_Dataset]" displayFolder="" count="2" memberValueDatatype="130" unbalanced="0">
      <fieldsUsage count="2">
        <fieldUsage x="-1"/>
        <fieldUsage x="2"/>
      </fieldsUsage>
    </cacheHierarchy>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Profit Margin %]" caption="Profit Margin %" attribute="1" defaultMemberUniqueName="[Sales_Dataset].[Profit Margin %].[All]" allUniqueName="[Sales_Dataset].[Profit Margin %].[All]" dimensionUniqueName="[Sales_Dataset]" displayFolder="" count="0" memberValueDatatype="5" unbalanced="0"/>
    <cacheHierarchy uniqueName="[Sales_Dataset].[Quantity %]" caption="Quantity %" attribute="1" defaultMemberUniqueName="[Sales_Dataset].[Quantity %].[All]" allUniqueName="[Sales_Dataset].[Quantity %].[All]" dimensionUniqueName="[Sales_Dataset]" displayFolder="" count="0" memberValueDatatype="5" unbalanced="0"/>
    <cacheHierarchy uniqueName="[Measures].[Sum of Quantity]" caption="Sum of Quantity" measure="1" displayFolder="" measureGroup="Sales_Dataset" count="0">
      <extLst>
        <ext xmlns:x15="http://schemas.microsoft.com/office/spreadsheetml/2010/11/main" uri="{B97F6D7D-B522-45F9-BDA1-12C45D357490}">
          <x15:cacheHierarchy aggregatedColumn="11"/>
        </ext>
      </extLst>
    </cacheHierarchy>
    <cacheHierarchy uniqueName="[Measures].[Sum of Quantity %]" caption="Sum of Quantity %" measure="1" displayFolder="" measureGroup="Sales_Dataset" count="0">
      <extLst>
        <ext xmlns:x15="http://schemas.microsoft.com/office/spreadsheetml/2010/11/main" uri="{B97F6D7D-B522-45F9-BDA1-12C45D357490}">
          <x15:cacheHierarchy aggregatedColumn="21"/>
        </ext>
      </extLst>
    </cacheHierarchy>
    <cacheHierarchy uniqueName="[Measures].[Total Sales]" caption="Total Sales" measure="1" displayFolder="" measureGroup="Sales_Dataset" count="0" oneField="1">
      <fieldsUsage count="1">
        <fieldUsage x="1"/>
      </fieldsUsage>
    </cacheHierarchy>
    <cacheHierarchy uniqueName="[Measures].[Total Profit]" caption="Total Profit" measure="1" displayFolder="" measureGroup="Sales_Dataset" count="0"/>
    <cacheHierarchy uniqueName="[Measures].[The Profit Margin %]" caption="The Profit Margin %" measure="1" displayFolder="" measureGroup="Sales_Dataset" count="0"/>
    <cacheHierarchy uniqueName="[Measures].[Total Units]" caption="Total Units" measure="1" displayFolder="" measureGroup="Sales_Dataset" count="0"/>
    <cacheHierarchy uniqueName="[Measures].[Sales LY]" caption="Sales LY" measure="1" displayFolder="" measureGroup="Sales_Dataset" count="0"/>
    <cacheHierarchy uniqueName="[Measures].[Sales Growth %]" caption="Sales Growth %" measure="1" displayFolder="" measureGroup="Sales_Dataset" count="0"/>
    <cacheHierarchy uniqueName="[Measures].[__XL_Count Sales_Dataset]" caption="__XL_Count Sales_Dataset" measure="1" displayFolder="" measureGroup="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set" uniqueName="[Sales_Dataset]" caption="Sales_Dataset"/>
  </dimensions>
  <measureGroups count="2">
    <measureGroup name="Calendar" caption="Calendar"/>
    <measureGroup name="Sales_Dataset" caption="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men Soliman" refreshedDate="46094.680589583331" createdVersion="8" refreshedVersion="8" minRefreshableVersion="3" recordCount="0" supportSubquery="1" supportAdvancedDrill="1" xr:uid="{9C5DA8FE-9054-4388-A3B3-94A4E137957E}">
  <cacheSource type="external" connectionId="3"/>
  <cacheFields count="5">
    <cacheField name="[Sales_Dataset].[Category].[Category]" caption="Category" numFmtId="0" hierarchy="12" level="1">
      <sharedItems count="3">
        <s v="Electronics"/>
        <s v="Furniture"/>
        <s v="Office Supplies"/>
      </sharedItems>
    </cacheField>
    <cacheField name="[Measures].[Sum of Quantity %]" caption="Sum of Quantity %"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Category]" caption="Category" attribute="1" defaultMemberUniqueName="[Sales_Dataset].[Category].[All]" allUniqueName="[Sales_Dataset].[Category].[All]" dimensionUniqueName="[Sales_Dataset]" displayFolder="" count="2" memberValueDatatype="130" unbalanced="0">
      <fieldsUsage count="2">
        <fieldUsage x="-1"/>
        <fieldUsage x="0"/>
      </fieldsUsage>
    </cacheHierarchy>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State]" caption="State" attribute="1" defaultMemberUniqueName="[Sales_Dataset].[State].[All]" allUniqueName="[Sales_Dataset].[State].[All]" dimensionUniqueName="[Sales_Dataset]" displayFolder="" count="2"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Profit Margin %]" caption="Profit Margin %" attribute="1" defaultMemberUniqueName="[Sales_Dataset].[Profit Margin %].[All]" allUniqueName="[Sales_Dataset].[Profit Margin %].[All]" dimensionUniqueName="[Sales_Dataset]" displayFolder="" count="0" memberValueDatatype="5" unbalanced="0"/>
    <cacheHierarchy uniqueName="[Sales_Dataset].[Quantity %]" caption="Quantity %" attribute="1" defaultMemberUniqueName="[Sales_Dataset].[Quantity %].[All]" allUniqueName="[Sales_Dataset].[Quantity %].[All]" dimensionUniqueName="[Sales_Dataset]" displayFolder="" count="0" memberValueDatatype="5" unbalanced="0"/>
    <cacheHierarchy uniqueName="[Measures].[Sum of Quantity]" caption="Sum of Quantity" measure="1" displayFolder="" measureGroup="Sales_Dataset" count="0">
      <extLst>
        <ext xmlns:x15="http://schemas.microsoft.com/office/spreadsheetml/2010/11/main" uri="{B97F6D7D-B522-45F9-BDA1-12C45D357490}">
          <x15:cacheHierarchy aggregatedColumn="11"/>
        </ext>
      </extLst>
    </cacheHierarchy>
    <cacheHierarchy uniqueName="[Measures].[Sum of Quantity %]" caption="Sum of Quantity %" measure="1" displayFolder="" measureGroup="Sales_Dataset" count="0" oneField="1">
      <fieldsUsage count="1">
        <fieldUsage x="1"/>
      </fieldsUsage>
      <extLst>
        <ext xmlns:x15="http://schemas.microsoft.com/office/spreadsheetml/2010/11/main" uri="{B97F6D7D-B522-45F9-BDA1-12C45D357490}">
          <x15:cacheHierarchy aggregatedColumn="21"/>
        </ext>
      </extLst>
    </cacheHierarchy>
    <cacheHierarchy uniqueName="[Measures].[Total Sales]" caption="Total Sales" measure="1" displayFolder="" measureGroup="Sales_Dataset" count="0"/>
    <cacheHierarchy uniqueName="[Measures].[Total Profit]" caption="Total Profit" measure="1" displayFolder="" measureGroup="Sales_Dataset" count="0"/>
    <cacheHierarchy uniqueName="[Measures].[The Profit Margin %]" caption="The Profit Margin %" measure="1" displayFolder="" measureGroup="Sales_Dataset" count="0"/>
    <cacheHierarchy uniqueName="[Measures].[Total Units]" caption="Total Units" measure="1" displayFolder="" measureGroup="Sales_Dataset" count="0"/>
    <cacheHierarchy uniqueName="[Measures].[Sales LY]" caption="Sales LY" measure="1" displayFolder="" measureGroup="Sales_Dataset" count="0"/>
    <cacheHierarchy uniqueName="[Measures].[Sales Growth %]" caption="Sales Growth %" measure="1" displayFolder="" measureGroup="Sales_Dataset" count="0"/>
    <cacheHierarchy uniqueName="[Measures].[__XL_Count Sales_Dataset]" caption="__XL_Count Sales_Dataset" measure="1" displayFolder="" measureGroup="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set" uniqueName="[Sales_Dataset]" caption="Sales_Dataset"/>
  </dimensions>
  <measureGroups count="2">
    <measureGroup name="Calendar" caption="Calendar"/>
    <measureGroup name="Sales_Dataset" caption="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men Soliman" refreshedDate="46094.680589930555" createdVersion="5" refreshedVersion="8" minRefreshableVersion="3" recordCount="0" supportSubquery="1" supportAdvancedDrill="1" xr:uid="{46BFC2B7-13F1-4E09-A770-3776C51BC6D4}">
  <cacheSource type="external" connectionId="3"/>
  <cacheFields count="8">
    <cacheField name="[Measures].[Total Sales]" caption="Total Sales" numFmtId="0" hierarchy="24" level="32767"/>
    <cacheField name="[Measures].[Total Profit]" caption="Total Profit" numFmtId="0" hierarchy="25" level="32767"/>
    <cacheField name="[Measures].[The Profit Margin %]" caption="The Profit Margin %" numFmtId="0" hierarchy="26" level="32767"/>
    <cacheField name="[Measures].[Total Units]" caption="Total Units" numFmtId="0" hierarchy="27" level="32767"/>
    <cacheField name="[Measures].[Sales Growth %]" caption="Sales Growth %" numFmtId="0" hierarchy="2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State]" caption="State" attribute="1" defaultMemberUniqueName="[Sales_Dataset].[State].[All]" allUniqueName="[Sales_Dataset].[State].[All]" dimensionUniqueName="[Sales_Dataset]" displayFolder="" count="2"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Profit Margin %]" caption="Profit Margin %" attribute="1" defaultMemberUniqueName="[Sales_Dataset].[Profit Margin %].[All]" allUniqueName="[Sales_Dataset].[Profit Margin %].[All]" dimensionUniqueName="[Sales_Dataset]" displayFolder="" count="0" memberValueDatatype="5" unbalanced="0"/>
    <cacheHierarchy uniqueName="[Sales_Dataset].[Quantity %]" caption="Quantity %" attribute="1" defaultMemberUniqueName="[Sales_Dataset].[Quantity %].[All]" allUniqueName="[Sales_Dataset].[Quantity %].[All]" dimensionUniqueName="[Sales_Dataset]" displayFolder="" count="0" memberValueDatatype="5" unbalanced="0"/>
    <cacheHierarchy uniqueName="[Measures].[Sum of Quantity]" caption="Sum of Quantity" measure="1" displayFolder="" measureGroup="Sales_Dataset" count="0">
      <extLst>
        <ext xmlns:x15="http://schemas.microsoft.com/office/spreadsheetml/2010/11/main" uri="{B97F6D7D-B522-45F9-BDA1-12C45D357490}">
          <x15:cacheHierarchy aggregatedColumn="11"/>
        </ext>
      </extLst>
    </cacheHierarchy>
    <cacheHierarchy uniqueName="[Measures].[Sum of Quantity %]" caption="Sum of Quantity %" measure="1" displayFolder="" measureGroup="Sales_Dataset" count="0">
      <extLst>
        <ext xmlns:x15="http://schemas.microsoft.com/office/spreadsheetml/2010/11/main" uri="{B97F6D7D-B522-45F9-BDA1-12C45D357490}">
          <x15:cacheHierarchy aggregatedColumn="21"/>
        </ext>
      </extLst>
    </cacheHierarchy>
    <cacheHierarchy uniqueName="[Measures].[Total Sales]" caption="Total Sales" measure="1" displayFolder="" measureGroup="Sales_Dataset" count="0" oneField="1">
      <fieldsUsage count="1">
        <fieldUsage x="0"/>
      </fieldsUsage>
    </cacheHierarchy>
    <cacheHierarchy uniqueName="[Measures].[Total Profit]" caption="Total Profit" measure="1" displayFolder="" measureGroup="Sales_Dataset" count="0" oneField="1">
      <fieldsUsage count="1">
        <fieldUsage x="1"/>
      </fieldsUsage>
    </cacheHierarchy>
    <cacheHierarchy uniqueName="[Measures].[The Profit Margin %]" caption="The Profit Margin %" measure="1" displayFolder="" measureGroup="Sales_Dataset" count="0" oneField="1">
      <fieldsUsage count="1">
        <fieldUsage x="2"/>
      </fieldsUsage>
    </cacheHierarchy>
    <cacheHierarchy uniqueName="[Measures].[Total Units]" caption="Total Units" measure="1" displayFolder="" measureGroup="Sales_Dataset" count="0" oneField="1">
      <fieldsUsage count="1">
        <fieldUsage x="3"/>
      </fieldsUsage>
    </cacheHierarchy>
    <cacheHierarchy uniqueName="[Measures].[Sales LY]" caption="Sales LY" measure="1" displayFolder="" measureGroup="Sales_Dataset" count="0"/>
    <cacheHierarchy uniqueName="[Measures].[Sales Growth %]" caption="Sales Growth %" measure="1" displayFolder="" measureGroup="Sales_Dataset" count="0" oneField="1">
      <fieldsUsage count="1">
        <fieldUsage x="4"/>
      </fieldsUsage>
    </cacheHierarchy>
    <cacheHierarchy uniqueName="[Measures].[__XL_Count Sales_Dataset]" caption="__XL_Count Sales_Dataset" measure="1" displayFolder="" measureGroup="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set" uniqueName="[Sales_Dataset]" caption="Sales_Dataset"/>
  </dimensions>
  <measureGroups count="2">
    <measureGroup name="Calendar" caption="Calendar"/>
    <measureGroup name="Sales_Dataset" caption="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men Soliman" refreshedDate="46094.680590277778" createdVersion="8" refreshedVersion="8" minRefreshableVersion="3" recordCount="0" supportSubquery="1" supportAdvancedDrill="1" xr:uid="{535397AD-B8C4-459F-B5DB-FF760F0157A7}">
  <cacheSource type="external" connectionId="3"/>
  <cacheFields count="5">
    <cacheField name="[Sales_Dataset].[City].[City]" caption="City" numFmtId="0" hierarchy="18" level="1">
      <sharedItems count="5">
        <s v="Buffalo"/>
        <s v="Miami"/>
        <s v="Orlando"/>
        <s v="Rochester"/>
        <s v="San Francisco"/>
      </sharedItems>
    </cacheField>
    <cacheField name="[Measures].[Total Sales]" caption="Total Sales" numFmtId="0" hierarchy="2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State]" caption="State" attribute="1" defaultMemberUniqueName="[Sales_Dataset].[State].[All]" allUniqueName="[Sales_Dataset].[State].[All]" dimensionUniqueName="[Sales_Dataset]" displayFolder="" count="2" memberValueDatatype="130" unbalanced="0"/>
    <cacheHierarchy uniqueName="[Sales_Dataset].[City]" caption="City" attribute="1" defaultMemberUniqueName="[Sales_Dataset].[City].[All]" allUniqueName="[Sales_Dataset].[City].[All]" dimensionUniqueName="[Sales_Dataset]" displayFolder="" count="2" memberValueDatatype="130" unbalanced="0">
      <fieldsUsage count="2">
        <fieldUsage x="-1"/>
        <fieldUsage x="0"/>
      </fieldsUsage>
    </cacheHierarchy>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Profit Margin %]" caption="Profit Margin %" attribute="1" defaultMemberUniqueName="[Sales_Dataset].[Profit Margin %].[All]" allUniqueName="[Sales_Dataset].[Profit Margin %].[All]" dimensionUniqueName="[Sales_Dataset]" displayFolder="" count="0" memberValueDatatype="5" unbalanced="0"/>
    <cacheHierarchy uniqueName="[Sales_Dataset].[Quantity %]" caption="Quantity %" attribute="1" defaultMemberUniqueName="[Sales_Dataset].[Quantity %].[All]" allUniqueName="[Sales_Dataset].[Quantity %].[All]" dimensionUniqueName="[Sales_Dataset]" displayFolder="" count="0" memberValueDatatype="5" unbalanced="0"/>
    <cacheHierarchy uniqueName="[Measures].[Sum of Quantity]" caption="Sum of Quantity" measure="1" displayFolder="" measureGroup="Sales_Dataset" count="0">
      <extLst>
        <ext xmlns:x15="http://schemas.microsoft.com/office/spreadsheetml/2010/11/main" uri="{B97F6D7D-B522-45F9-BDA1-12C45D357490}">
          <x15:cacheHierarchy aggregatedColumn="11"/>
        </ext>
      </extLst>
    </cacheHierarchy>
    <cacheHierarchy uniqueName="[Measures].[Sum of Quantity %]" caption="Sum of Quantity %" measure="1" displayFolder="" measureGroup="Sales_Dataset" count="0">
      <extLst>
        <ext xmlns:x15="http://schemas.microsoft.com/office/spreadsheetml/2010/11/main" uri="{B97F6D7D-B522-45F9-BDA1-12C45D357490}">
          <x15:cacheHierarchy aggregatedColumn="21"/>
        </ext>
      </extLst>
    </cacheHierarchy>
    <cacheHierarchy uniqueName="[Measures].[Total Sales]" caption="Total Sales" measure="1" displayFolder="" measureGroup="Sales_Dataset" count="0" oneField="1">
      <fieldsUsage count="1">
        <fieldUsage x="1"/>
      </fieldsUsage>
    </cacheHierarchy>
    <cacheHierarchy uniqueName="[Measures].[Total Profit]" caption="Total Profit" measure="1" displayFolder="" measureGroup="Sales_Dataset" count="0"/>
    <cacheHierarchy uniqueName="[Measures].[The Profit Margin %]" caption="The Profit Margin %" measure="1" displayFolder="" measureGroup="Sales_Dataset" count="0"/>
    <cacheHierarchy uniqueName="[Measures].[Total Units]" caption="Total Units" measure="1" displayFolder="" measureGroup="Sales_Dataset" count="0"/>
    <cacheHierarchy uniqueName="[Measures].[Sales LY]" caption="Sales LY" measure="1" displayFolder="" measureGroup="Sales_Dataset" count="0"/>
    <cacheHierarchy uniqueName="[Measures].[Sales Growth %]" caption="Sales Growth %" measure="1" displayFolder="" measureGroup="Sales_Dataset" count="0"/>
    <cacheHierarchy uniqueName="[Measures].[__XL_Count Sales_Dataset]" caption="__XL_Count Sales_Dataset" measure="1" displayFolder="" measureGroup="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set" uniqueName="[Sales_Dataset]" caption="Sales_Dataset"/>
  </dimensions>
  <measureGroups count="2">
    <measureGroup name="Calendar" caption="Calendar"/>
    <measureGroup name="Sales_Dataset" caption="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men Soliman" refreshedDate="46094.680590625001" createdVersion="8" refreshedVersion="8" minRefreshableVersion="3" recordCount="0" supportSubquery="1" supportAdvancedDrill="1" xr:uid="{7959A0AD-31BD-4707-9AA4-8F27310214BD}">
  <cacheSource type="external" connectionId="3"/>
  <cacheFields count="4">
    <cacheField name="[Calendar].[Date Hierarchy].[Year]" caption="Year" numFmtId="0" hierarchy="1"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Calendar].[Date Hierarchy].[Year].&amp;[2020]"/>
            <x15:cachedUniqueName index="1" name="[Calendar].[Date Hierarchy].[Year].&amp;[2021]"/>
            <x15:cachedUniqueName index="2" name="[Calendar].[Date Hierarchy].[Year].&amp;[2022]"/>
            <x15:cachedUniqueName index="3" name="[Calendar].[Date Hierarchy].[Year].&amp;[2023]"/>
            <x15:cachedUniqueName index="4" name="[Calendar].[Date Hierarchy].[Year].&amp;[2024]"/>
            <x15:cachedUniqueName index="5" name="[Calendar].[Date Hierarchy].[Year].&amp;[2025]"/>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Sales]" caption="Total Sales" numFmtId="0" hierarchy="24" level="32767"/>
  </cacheFields>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State]" caption="State" attribute="1" defaultMemberUniqueName="[Sales_Dataset].[State].[All]" allUniqueName="[Sales_Dataset].[State].[All]" dimensionUniqueName="[Sales_Dataset]" displayFolder="" count="2"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Profit Margin %]" caption="Profit Margin %" attribute="1" defaultMemberUniqueName="[Sales_Dataset].[Profit Margin %].[All]" allUniqueName="[Sales_Dataset].[Profit Margin %].[All]" dimensionUniqueName="[Sales_Dataset]" displayFolder="" count="0" memberValueDatatype="5" unbalanced="0"/>
    <cacheHierarchy uniqueName="[Sales_Dataset].[Quantity %]" caption="Quantity %" attribute="1" defaultMemberUniqueName="[Sales_Dataset].[Quantity %].[All]" allUniqueName="[Sales_Dataset].[Quantity %].[All]" dimensionUniqueName="[Sales_Dataset]" displayFolder="" count="0" memberValueDatatype="5" unbalanced="0"/>
    <cacheHierarchy uniqueName="[Measures].[Sum of Quantity]" caption="Sum of Quantity" measure="1" displayFolder="" measureGroup="Sales_Dataset" count="0">
      <extLst>
        <ext xmlns:x15="http://schemas.microsoft.com/office/spreadsheetml/2010/11/main" uri="{B97F6D7D-B522-45F9-BDA1-12C45D357490}">
          <x15:cacheHierarchy aggregatedColumn="11"/>
        </ext>
      </extLst>
    </cacheHierarchy>
    <cacheHierarchy uniqueName="[Measures].[Sum of Quantity %]" caption="Sum of Quantity %" measure="1" displayFolder="" measureGroup="Sales_Dataset" count="0">
      <extLst>
        <ext xmlns:x15="http://schemas.microsoft.com/office/spreadsheetml/2010/11/main" uri="{B97F6D7D-B522-45F9-BDA1-12C45D357490}">
          <x15:cacheHierarchy aggregatedColumn="21"/>
        </ext>
      </extLst>
    </cacheHierarchy>
    <cacheHierarchy uniqueName="[Measures].[Total Sales]" caption="Total Sales" measure="1" displayFolder="" measureGroup="Sales_Dataset" count="0" oneField="1">
      <fieldsUsage count="1">
        <fieldUsage x="3"/>
      </fieldsUsage>
    </cacheHierarchy>
    <cacheHierarchy uniqueName="[Measures].[Total Profit]" caption="Total Profit" measure="1" displayFolder="" measureGroup="Sales_Dataset" count="0"/>
    <cacheHierarchy uniqueName="[Measures].[The Profit Margin %]" caption="The Profit Margin %" measure="1" displayFolder="" measureGroup="Sales_Dataset" count="0"/>
    <cacheHierarchy uniqueName="[Measures].[Total Units]" caption="Total Units" measure="1" displayFolder="" measureGroup="Sales_Dataset" count="0"/>
    <cacheHierarchy uniqueName="[Measures].[Sales LY]" caption="Sales LY" measure="1" displayFolder="" measureGroup="Sales_Dataset" count="0"/>
    <cacheHierarchy uniqueName="[Measures].[Sales Growth %]" caption="Sales Growth %" measure="1" displayFolder="" measureGroup="Sales_Dataset" count="0"/>
    <cacheHierarchy uniqueName="[Measures].[__XL_Count Sales_Dataset]" caption="__XL_Count Sales_Dataset" measure="1" displayFolder="" measureGroup="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set" uniqueName="[Sales_Dataset]" caption="Sales_Dataset"/>
  </dimensions>
  <measureGroups count="2">
    <measureGroup name="Calendar" caption="Calendar"/>
    <measureGroup name="Sales_Dataset" caption="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men Soliman" refreshedDate="46094.680590972224" createdVersion="8" refreshedVersion="8" minRefreshableVersion="3" recordCount="0" supportSubquery="1" supportAdvancedDrill="1" xr:uid="{19C0BEAD-2452-4B88-9888-B7075F2ACCFD}">
  <cacheSource type="external" connectionId="3"/>
  <cacheFields count="5">
    <cacheField name="[Measures].[Sales Growth %]" caption="Sales Growth %" numFmtId="0" hierarchy="29" level="32767"/>
    <cacheField name="[Sales_Dataset].[State].[State]" caption="State" numFmtId="0" hierarchy="17" level="1">
      <sharedItems count="6">
        <s v="California"/>
        <s v="Florida"/>
        <s v="Illinois"/>
        <s v="New York"/>
        <s v="Ohio"/>
        <s v="Texas"/>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State]" caption="State" attribute="1" defaultMemberUniqueName="[Sales_Dataset].[State].[All]" allUniqueName="[Sales_Dataset].[State].[All]" dimensionUniqueName="[Sales_Dataset]" displayFolder="" count="2" memberValueDatatype="130" unbalanced="0">
      <fieldsUsage count="2">
        <fieldUsage x="-1"/>
        <fieldUsage x="1"/>
      </fieldsUsage>
    </cacheHierarchy>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Profit Margin %]" caption="Profit Margin %" attribute="1" defaultMemberUniqueName="[Sales_Dataset].[Profit Margin %].[All]" allUniqueName="[Sales_Dataset].[Profit Margin %].[All]" dimensionUniqueName="[Sales_Dataset]" displayFolder="" count="0" memberValueDatatype="5" unbalanced="0"/>
    <cacheHierarchy uniqueName="[Sales_Dataset].[Quantity %]" caption="Quantity %" attribute="1" defaultMemberUniqueName="[Sales_Dataset].[Quantity %].[All]" allUniqueName="[Sales_Dataset].[Quantity %].[All]" dimensionUniqueName="[Sales_Dataset]" displayFolder="" count="0" memberValueDatatype="5" unbalanced="0"/>
    <cacheHierarchy uniqueName="[Measures].[Sum of Quantity]" caption="Sum of Quantity" measure="1" displayFolder="" measureGroup="Sales_Dataset" count="0">
      <extLst>
        <ext xmlns:x15="http://schemas.microsoft.com/office/spreadsheetml/2010/11/main" uri="{B97F6D7D-B522-45F9-BDA1-12C45D357490}">
          <x15:cacheHierarchy aggregatedColumn="11"/>
        </ext>
      </extLst>
    </cacheHierarchy>
    <cacheHierarchy uniqueName="[Measures].[Sum of Quantity %]" caption="Sum of Quantity %" measure="1" displayFolder="" measureGroup="Sales_Dataset" count="0">
      <extLst>
        <ext xmlns:x15="http://schemas.microsoft.com/office/spreadsheetml/2010/11/main" uri="{B97F6D7D-B522-45F9-BDA1-12C45D357490}">
          <x15:cacheHierarchy aggregatedColumn="21"/>
        </ext>
      </extLst>
    </cacheHierarchy>
    <cacheHierarchy uniqueName="[Measures].[Total Sales]" caption="Total Sales" measure="1" displayFolder="" measureGroup="Sales_Dataset" count="0"/>
    <cacheHierarchy uniqueName="[Measures].[Total Profit]" caption="Total Profit" measure="1" displayFolder="" measureGroup="Sales_Dataset" count="0"/>
    <cacheHierarchy uniqueName="[Measures].[The Profit Margin %]" caption="The Profit Margin %" measure="1" displayFolder="" measureGroup="Sales_Dataset" count="0"/>
    <cacheHierarchy uniqueName="[Measures].[Total Units]" caption="Total Units" measure="1" displayFolder="" measureGroup="Sales_Dataset" count="0"/>
    <cacheHierarchy uniqueName="[Measures].[Sales LY]" caption="Sales LY" measure="1" displayFolder="" measureGroup="Sales_Dataset" count="0"/>
    <cacheHierarchy uniqueName="[Measures].[Sales Growth %]" caption="Sales Growth %" measure="1" displayFolder="" measureGroup="Sales_Dataset" count="0" oneField="1">
      <fieldsUsage count="1">
        <fieldUsage x="0"/>
      </fieldsUsage>
    </cacheHierarchy>
    <cacheHierarchy uniqueName="[Measures].[__XL_Count Sales_Dataset]" caption="__XL_Count Sales_Dataset" measure="1" displayFolder="" measureGroup="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set" uniqueName="[Sales_Dataset]" caption="Sales_Dataset"/>
  </dimensions>
  <measureGroups count="2">
    <measureGroup name="Calendar" caption="Calendar"/>
    <measureGroup name="Sales_Dataset" caption="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men Soliman" refreshedDate="46094.680591435186" createdVersion="8" refreshedVersion="8" minRefreshableVersion="3" recordCount="0" supportSubquery="1" supportAdvancedDrill="1" xr:uid="{0D2BFF97-5115-4EDD-88C2-304E6CBDB53B}">
  <cacheSource type="external" connectionId="3"/>
  <cacheFields count="5">
    <cacheField name="[Calendar].[Date Hierarchy].[Year]" caption="Year" numFmtId="0" hierarchy="1"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Calendar].[Date Hierarchy].[Year].&amp;[2020]"/>
            <x15:cachedUniqueName index="1" name="[Calendar].[Date Hierarchy].[Year].&amp;[2021]"/>
            <x15:cachedUniqueName index="2" name="[Calendar].[Date Hierarchy].[Year].&amp;[2022]"/>
            <x15:cachedUniqueName index="3" name="[Calendar].[Date Hierarchy].[Year].&amp;[2023]"/>
            <x15:cachedUniqueName index="4" name="[Calendar].[Date Hierarchy].[Year].&amp;[2024]"/>
            <x15:cachedUniqueName index="5" name="[Calendar].[Date Hierarchy].[Year].&amp;[2025]"/>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Sales Growth %]" caption="Sales Growth %" numFmtId="0" hierarchy="29" level="32767"/>
    <cacheField name="[Measures].[Total Sales]" caption="Total Sales" numFmtId="0" hierarchy="24" level="32767"/>
  </cacheFields>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Category]" caption="Category" attribute="1" defaultMemberUniqueName="[Sales_Dataset].[Category].[All]" allUniqueName="[Sales_Dataset].[Category].[All]" dimensionUniqueName="[Sales_Dataset]" displayFolder="" count="0"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0"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State]" caption="State" attribute="1" defaultMemberUniqueName="[Sales_Dataset].[State].[All]" allUniqueName="[Sales_Dataset].[State].[All]" dimensionUniqueName="[Sales_Dataset]" displayFolder="" count="0"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Profit Margin %]" caption="Profit Margin %" attribute="1" defaultMemberUniqueName="[Sales_Dataset].[Profit Margin %].[All]" allUniqueName="[Sales_Dataset].[Profit Margin %].[All]" dimensionUniqueName="[Sales_Dataset]" displayFolder="" count="0" memberValueDatatype="5" unbalanced="0"/>
    <cacheHierarchy uniqueName="[Sales_Dataset].[Quantity %]" caption="Quantity %" attribute="1" defaultMemberUniqueName="[Sales_Dataset].[Quantity %].[All]" allUniqueName="[Sales_Dataset].[Quantity %].[All]" dimensionUniqueName="[Sales_Dataset]" displayFolder="" count="0" memberValueDatatype="5" unbalanced="0"/>
    <cacheHierarchy uniqueName="[Measures].[Sum of Quantity]" caption="Sum of Quantity" measure="1" displayFolder="" measureGroup="Sales_Dataset" count="0">
      <extLst>
        <ext xmlns:x15="http://schemas.microsoft.com/office/spreadsheetml/2010/11/main" uri="{B97F6D7D-B522-45F9-BDA1-12C45D357490}">
          <x15:cacheHierarchy aggregatedColumn="11"/>
        </ext>
      </extLst>
    </cacheHierarchy>
    <cacheHierarchy uniqueName="[Measures].[Sum of Quantity %]" caption="Sum of Quantity %" measure="1" displayFolder="" measureGroup="Sales_Dataset" count="0">
      <extLst>
        <ext xmlns:x15="http://schemas.microsoft.com/office/spreadsheetml/2010/11/main" uri="{B97F6D7D-B522-45F9-BDA1-12C45D357490}">
          <x15:cacheHierarchy aggregatedColumn="21"/>
        </ext>
      </extLst>
    </cacheHierarchy>
    <cacheHierarchy uniqueName="[Measures].[Total Sales]" caption="Total Sales" measure="1" displayFolder="" measureGroup="Sales_Dataset" count="0" oneField="1">
      <fieldsUsage count="1">
        <fieldUsage x="4"/>
      </fieldsUsage>
    </cacheHierarchy>
    <cacheHierarchy uniqueName="[Measures].[Total Profit]" caption="Total Profit" measure="1" displayFolder="" measureGroup="Sales_Dataset" count="0"/>
    <cacheHierarchy uniqueName="[Measures].[The Profit Margin %]" caption="The Profit Margin %" measure="1" displayFolder="" measureGroup="Sales_Dataset" count="0"/>
    <cacheHierarchy uniqueName="[Measures].[Total Units]" caption="Total Units" measure="1" displayFolder="" measureGroup="Sales_Dataset" count="0"/>
    <cacheHierarchy uniqueName="[Measures].[Sales LY]" caption="Sales LY" measure="1" displayFolder="" measureGroup="Sales_Dataset" count="0"/>
    <cacheHierarchy uniqueName="[Measures].[Sales Growth %]" caption="Sales Growth %" measure="1" displayFolder="" measureGroup="Sales_Dataset" count="0" oneField="1">
      <fieldsUsage count="1">
        <fieldUsage x="3"/>
      </fieldsUsage>
    </cacheHierarchy>
    <cacheHierarchy uniqueName="[Measures].[__XL_Count Sales_Dataset]" caption="__XL_Count Sales_Dataset" measure="1" displayFolder="" measureGroup="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Dataset" uniqueName="[Sales_Dataset]" caption="Sales_Dataset"/>
  </dimensions>
  <measureGroups count="2">
    <measureGroup name="Calendar" caption="Calendar"/>
    <measureGroup name="Sales_Dataset" caption="Sales_Datase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men Soliman" refreshedDate="46081.584889930557" createdVersion="3" refreshedVersion="8" minRefreshableVersion="3" recordCount="0" supportSubquery="1" supportAdvancedDrill="1" xr:uid="{1592D8AE-203C-4E11-8F5E-B33661654120}">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Profit]" caption="Profit" attribute="1" defaultMemberUniqueName="[Sales_Dataset].[Profit].[All]" allUniqueName="[Sales_Dataset].[Profit].[All]" dimensionUniqueName="[Sales_Dataset]" displayFolder="" count="0" memberValueDatatype="2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Category]" caption="Category" attribute="1" defaultMemberUniqueName="[Sales_Dataset].[Category].[All]" allUniqueName="[Sales_Dataset].[Category].[All]" dimensionUniqueName="[Sales_Dataset]" displayFolder="" count="2" memberValueDatatype="130" unbalanced="0"/>
    <cacheHierarchy uniqueName="[Sales_Dataset].[Sub-Category]" caption="Sub-Category" attribute="1" defaultMemberUniqueName="[Sales_Dataset].[Sub-Category].[All]" allUniqueName="[Sales_Dataset].[Sub-Category].[All]" dimensionUniqueName="[Sales_Dataset]" displayFolder="" count="0" memberValueDatatype="130" unbalanced="0"/>
    <cacheHierarchy uniqueName="[Sales_Dataset].[PaymentMode]" caption="PaymentMode" attribute="1" defaultMemberUniqueName="[Sales_Dataset].[PaymentMode].[All]" allUniqueName="[Sales_Dataset].[PaymentMode].[All]" dimensionUniqueName="[Sales_Dataset]" displayFolder="" count="2"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Name]" caption="CustomerName" attribute="1" defaultMemberUniqueName="[Sales_Dataset].[CustomerName].[All]" allUniqueName="[Sales_Dataset].[CustomerName].[All]" dimensionUniqueName="[Sales_Dataset]" displayFolder="" count="0" memberValueDatatype="130" unbalanced="0"/>
    <cacheHierarchy uniqueName="[Sales_Dataset].[State]" caption="State" attribute="1" defaultMemberUniqueName="[Sales_Dataset].[State].[All]" allUniqueName="[Sales_Dataset].[State].[All]" dimensionUniqueName="[Sales_Dataset]" displayFolder="" count="2"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Year-Month]" caption="Year-Month" attribute="1" time="1" defaultMemberUniqueName="[Sales_Dataset].[Year-Month].[All]" allUniqueName="[Sales_Dataset].[Year-Month].[All]" dimensionUniqueName="[Sales_Dataset]" displayFolder="" count="0" memberValueDatatype="7" unbalanced="0"/>
    <cacheHierarchy uniqueName="[Sales_Dataset].[Profit Margin %]" caption="Profit Margin %" attribute="1" defaultMemberUniqueName="[Sales_Dataset].[Profit Margin %].[All]" allUniqueName="[Sales_Dataset].[Profit Margin %].[All]" dimensionUniqueName="[Sales_Dataset]" displayFolder="" count="0" memberValueDatatype="5" unbalanced="0"/>
    <cacheHierarchy uniqueName="[Sales_Dataset].[Quantity %]" caption="Quantity %" attribute="1" defaultMemberUniqueName="[Sales_Dataset].[Quantity %].[All]" allUniqueName="[Sales_Dataset].[Quantity %].[All]" dimensionUniqueName="[Sales_Dataset]" displayFolder="" count="0" memberValueDatatype="5" unbalanced="0"/>
    <cacheHierarchy uniqueName="[Measures].[Sum of Quantity]" caption="Sum of Quantity" measure="1" displayFolder="" measureGroup="Sales_Dataset" count="0">
      <extLst>
        <ext xmlns:x15="http://schemas.microsoft.com/office/spreadsheetml/2010/11/main" uri="{B97F6D7D-B522-45F9-BDA1-12C45D357490}">
          <x15:cacheHierarchy aggregatedColumn="11"/>
        </ext>
      </extLst>
    </cacheHierarchy>
    <cacheHierarchy uniqueName="[Measures].[Sum of Quantity %]" caption="Sum of Quantity %" measure="1" displayFolder="" measureGroup="Sales_Dataset" count="0">
      <extLst>
        <ext xmlns:x15="http://schemas.microsoft.com/office/spreadsheetml/2010/11/main" uri="{B97F6D7D-B522-45F9-BDA1-12C45D357490}">
          <x15:cacheHierarchy aggregatedColumn="21"/>
        </ext>
      </extLst>
    </cacheHierarchy>
    <cacheHierarchy uniqueName="[Measures].[Total Sales]" caption="Total Sales" measure="1" displayFolder="" measureGroup="Sales_Dataset" count="0"/>
    <cacheHierarchy uniqueName="[Measures].[Total Profit]" caption="Total Profit" measure="1" displayFolder="" measureGroup="Sales_Dataset" count="0"/>
    <cacheHierarchy uniqueName="[Measures].[The Profit Margin %]" caption="The Profit Margin %" measure="1" displayFolder="" measureGroup="Sales_Dataset" count="0"/>
    <cacheHierarchy uniqueName="[Measures].[Total Units]" caption="Total Units" measure="1" displayFolder="" measureGroup="Sales_Dataset" count="0"/>
    <cacheHierarchy uniqueName="[Measures].[Sales LY]" caption="Sales LY" measure="1" displayFolder="" measureGroup="Sales_Dataset" count="0"/>
    <cacheHierarchy uniqueName="[Measures].[Sales Growth %]" caption="Sales Growth %" measure="1" displayFolder="" measureGroup="Sales_Dataset" count="0"/>
    <cacheHierarchy uniqueName="[Measures].[__XL_Count Sales_Dataset]" caption="__XL_Count Sales_Dataset" measure="1" displayFolder="" measureGroup="Sales_Datase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10072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B4B4C1-3929-43D8-AE02-ABDAC02EB391}" name="Total Sales per City" cacheId="1553" applyNumberFormats="0" applyBorderFormats="0" applyFontFormats="0" applyPatternFormats="0" applyAlignmentFormats="0" applyWidthHeightFormats="1" dataCaption="Values" tag="2bee63ff-2e2d-49a9-a09c-eb881f54fdf6" updatedVersion="8" minRefreshableVersion="3" useAutoFormatting="1" subtotalHiddenItems="1" itemPrintTitles="1" createdVersion="8" indent="0" outline="1" outlineData="1" multipleFieldFilters="0" chartFormat="39">
  <location ref="H3:I10" firstHeaderRow="1" firstDataRow="1" firstDataCol="1"/>
  <pivotFields count="6">
    <pivotField axis="axisRow" allDrilled="1" subtotalTop="0" showAll="0" sortType="ascending" defaultSubtotal="0">
      <items count="6">
        <item x="0" e="0"/>
        <item x="1" e="0"/>
        <item x="2" e="0"/>
        <item x="3" e="0"/>
        <item x="4" e="0"/>
        <item x="5"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llDrilled="1" subtotalTop="0" showAll="0" dataSourceSort="1" defaultSubtotal="0"/>
    <pivotField subtotalTop="0" showAll="0" dataSourceSort="1" defaultSubtotal="0"/>
    <pivotField subtotalTop="0" showAll="0" dataSourceSort="1" defaultSubtotal="0"/>
  </pivotFields>
  <rowFields count="2">
    <field x="0"/>
    <field x="2"/>
  </rowFields>
  <rowItems count="7">
    <i>
      <x v="4"/>
    </i>
    <i>
      <x v="2"/>
    </i>
    <i>
      <x v="5"/>
    </i>
    <i>
      <x/>
    </i>
    <i>
      <x v="1"/>
    </i>
    <i>
      <x v="3"/>
    </i>
    <i t="grand">
      <x/>
    </i>
  </rowItems>
  <colItems count="1">
    <i/>
  </colItems>
  <dataFields count="1">
    <dataField fld="1" subtotal="count" baseField="0" baseItem="3" numFmtId="169"/>
  </dataFields>
  <chartFormats count="1">
    <chartFormat chart="24" format="3" series="1">
      <pivotArea type="data" outline="0" fieldPosition="0">
        <references count="1">
          <reference field="4294967294" count="1" selected="0">
            <x v="0"/>
          </reference>
        </references>
      </pivotArea>
    </chartFormat>
  </chartFormats>
  <pivotHierarchies count="3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0BF5D2-BFE3-46F0-9484-5A6A5D772E22}" name="PivotTable2" cacheId="1559" applyNumberFormats="0" applyBorderFormats="0" applyFontFormats="0" applyPatternFormats="0" applyAlignmentFormats="0" applyWidthHeightFormats="1" dataCaption="Values" tag="7cb38e2a-dcab-4e23-ace7-a227d160420a" updatedVersion="8" minRefreshableVersion="3" useAutoFormatting="1" subtotalHiddenItems="1" itemPrintTitles="1" createdVersion="5" indent="0" outline="1" outlineData="1" multipleFieldFilters="0">
  <location ref="B3:F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fld="0" subtotal="count" baseField="0" baseItem="1" numFmtId="3"/>
    <dataField fld="1" subtotal="count" baseField="0" baseItem="1" numFmtId="3"/>
    <dataField fld="2" subtotal="count" baseField="0" baseItem="0"/>
    <dataField fld="3" subtotal="count" baseField="0" baseItem="1" numFmtId="3"/>
    <dataField fld="4" subtotal="count" baseField="0" baseItem="5" numFmtId="10"/>
  </dataFields>
  <pivotHierarchies count="3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5BB2B-18E9-4324-8660-A340BF3E0719}" name="Sales growth per city" cacheId="1568" applyNumberFormats="0" applyBorderFormats="0" applyFontFormats="0" applyPatternFormats="0" applyAlignmentFormats="0" applyWidthHeightFormats="1" dataCaption="Values" tag="a55e8ffc-28ef-4b19-8c43-946ce1dd8550" updatedVersion="8" minRefreshableVersion="3" useAutoFormatting="1" subtotalHiddenItems="1" itemPrintTitles="1" createdVersion="8" indent="0" outline="1" outlineData="1" multipleFieldFilters="0" chartFormat="51">
  <location ref="T3:U10" firstHeaderRow="1" firstDataRow="1" firstDataCol="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7">
    <i>
      <x/>
    </i>
    <i>
      <x v="1"/>
    </i>
    <i>
      <x v="2"/>
    </i>
    <i>
      <x v="3"/>
    </i>
    <i>
      <x v="4"/>
    </i>
    <i>
      <x v="5"/>
    </i>
    <i t="grand">
      <x/>
    </i>
  </rowItems>
  <colItems count="1">
    <i/>
  </colItems>
  <dataFields count="1">
    <dataField fld="0" subtotal="count" baseField="0" baseItem="0" numFmtId="10"/>
  </dataFields>
  <pivotHierarchies count="3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9D8138-BCA0-48DD-A4CD-FB54FD574487}" name="Sales by Year" cacheId="1565" applyNumberFormats="0" applyBorderFormats="0" applyFontFormats="0" applyPatternFormats="0" applyAlignmentFormats="0" applyWidthHeightFormats="1" dataCaption="Values" tag="4bd10d91-a045-4b4a-9cd7-638664add3fa" updatedVersion="8" minRefreshableVersion="3" useAutoFormatting="1" subtotalHiddenItems="1" itemPrintTitles="1" createdVersion="8" indent="0" outline="1" outlineData="1" multipleFieldFilters="0" chartFormat="32">
  <location ref="K3:L10" firstHeaderRow="1" firstDataRow="1" firstDataCol="1"/>
  <pivotFields count="4">
    <pivotField axis="axisRow" allDrilled="1" subtotalTop="0" showAll="0" dataSourceSort="1" defaultSubtotal="0">
      <items count="6">
        <item c="1" x="0"/>
        <item c="1" x="1"/>
        <item c="1" x="2"/>
        <item c="1" x="3"/>
        <item c="1" x="4"/>
        <item c="1" x="5"/>
      </items>
    </pivotField>
    <pivotField axis="axisRow" subtotalTop="0" showAll="0" dataSourceSort="1" defaultSubtotal="0"/>
    <pivotField axis="axisRow" subtotalTop="0" showAll="0" dataSourceSort="1" defaultSubtotal="0"/>
    <pivotField dataField="1" subtotalTop="0" showAll="0" defaultSubtotal="0"/>
  </pivotFields>
  <rowFields count="1">
    <field x="0"/>
  </rowFields>
  <rowItems count="7">
    <i>
      <x/>
    </i>
    <i>
      <x v="1"/>
    </i>
    <i>
      <x v="2"/>
    </i>
    <i>
      <x v="3"/>
    </i>
    <i>
      <x v="4"/>
    </i>
    <i>
      <x v="5"/>
    </i>
    <i t="grand">
      <x/>
    </i>
  </rowItems>
  <colItems count="1">
    <i/>
  </colItems>
  <dataFields count="1">
    <dataField fld="3" subtotal="count" baseField="0" baseItem="4" numFmtId="169"/>
  </dataFields>
  <chartFormats count="2">
    <chartFormat chart="6" format="5"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Hierarchies count="3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A26FFC-6A5C-4E0F-B310-6D40CB6AD28C}" name="Distribution of Units by Category" cacheId="1556" applyNumberFormats="0" applyBorderFormats="0" applyFontFormats="0" applyPatternFormats="0" applyAlignmentFormats="0" applyWidthHeightFormats="1" dataCaption="Values" tag="686fd2b4-cacb-4060-985d-05c5d466a357" updatedVersion="8" minRefreshableVersion="3" useAutoFormatting="1" subtotalHiddenItems="1" itemPrintTitles="1" createdVersion="8" indent="0" outline="1" outlineData="1" multipleFieldFilters="0" chartFormat="31">
  <location ref="Q3:R7" firstHeaderRow="1" firstDataRow="1" firstDataCol="1"/>
  <pivotFields count="5">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name="Sum of Quantity %" fld="1" baseField="0" baseItem="0" numFmtId="10"/>
  </dataFields>
  <chartFormats count="4">
    <chartFormat chart="4" format="45" series="1">
      <pivotArea type="data" outline="0" fieldPosition="0">
        <references count="1">
          <reference field="4294967294" count="1" selected="0">
            <x v="0"/>
          </reference>
        </references>
      </pivotArea>
    </chartFormat>
    <chartFormat chart="4" format="46">
      <pivotArea type="data" outline="0" fieldPosition="0">
        <references count="2">
          <reference field="4294967294" count="1" selected="0">
            <x v="0"/>
          </reference>
          <reference field="0" count="1" selected="0">
            <x v="0"/>
          </reference>
        </references>
      </pivotArea>
    </chartFormat>
    <chartFormat chart="4" format="47">
      <pivotArea type="data" outline="0" fieldPosition="0">
        <references count="2">
          <reference field="4294967294" count="1" selected="0">
            <x v="0"/>
          </reference>
          <reference field="0" count="1" selected="0">
            <x v="1"/>
          </reference>
        </references>
      </pivotArea>
    </chartFormat>
    <chartFormat chart="4" format="48">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9F2A06-565F-4412-AB0C-39174B279899}" name="PivotTable1" cacheId="1571" applyNumberFormats="0" applyBorderFormats="0" applyFontFormats="0" applyPatternFormats="0" applyAlignmentFormats="0" applyWidthHeightFormats="1" dataCaption="Values" tag="2cdeaa35-5cd6-402a-a646-671e830a3e67" updatedVersion="8" minRefreshableVersion="3" useAutoFormatting="1" subtotalHiddenItems="1" itemPrintTitles="1" createdVersion="8" indent="0" outline="1" outlineData="1" multipleFieldFilters="0" chartFormat="19">
  <location ref="AC3:AE10" firstHeaderRow="0" firstDataRow="1" firstDataCol="1"/>
  <pivotFields count="5">
    <pivotField axis="axisRow" allDrilled="1" subtotalTop="0" showAll="0" dataSourceSort="1" defaultSubtotal="0">
      <items count="6">
        <item c="1" x="0"/>
        <item c="1" x="1"/>
        <item c="1" x="2"/>
        <item c="1" x="3"/>
        <item c="1" x="4"/>
        <item c="1" x="5"/>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fld="4" subtotal="count" baseField="0" baseItem="0" numFmtId="3"/>
    <dataField fld="3" subtotal="count" baseField="0" baseItem="0" numFmtId="10"/>
  </dataField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A7E3A2-3E2C-4DFA-A387-9F19D284C6D6}" name="PivotTable4" cacheId="1562" applyNumberFormats="0" applyBorderFormats="0" applyFontFormats="0" applyPatternFormats="0" applyAlignmentFormats="0" applyWidthHeightFormats="1" dataCaption="Values" tag="83e14af3-db70-40c2-98d7-3fc1142c39db" updatedVersion="8" minRefreshableVersion="3" useAutoFormatting="1" subtotalHiddenItems="1" itemPrintTitles="1" createdVersion="8" indent="0" outline="1" outlineData="1" multipleFieldFilters="0" chartFormat="40">
  <location ref="N3:O9" firstHeaderRow="1" firstDataRow="1" firstDataCol="1"/>
  <pivotFields count="5">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v="1"/>
    </i>
    <i>
      <x v="3"/>
    </i>
    <i>
      <x/>
    </i>
    <i>
      <x v="4"/>
    </i>
    <i>
      <x v="2"/>
    </i>
    <i t="grand">
      <x/>
    </i>
  </rowItems>
  <colItems count="1">
    <i/>
  </colItems>
  <dataFields count="1">
    <dataField fld="1" subtotal="count" baseField="0" baseItem="1" numFmtId="170"/>
  </dataFields>
  <chartFormats count="4">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2"/>
          </reference>
        </references>
      </pivotArea>
    </chartFormat>
    <chartFormat chart="28"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Hierarchies count="33">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5">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se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4F098E5-9D83-4221-9398-843166522EB2}" autoFormatId="16" applyNumberFormats="0" applyBorderFormats="0" applyFontFormats="0" applyPatternFormats="0" applyAlignmentFormats="0" applyWidthHeightFormats="0">
  <queryTableRefresh nextId="15">
    <queryTableFields count="14">
      <queryTableField id="1" name="Order ID" tableColumnId="1"/>
      <queryTableField id="2" name="Amount" tableColumnId="2"/>
      <queryTableField id="3" name="Profit" tableColumnId="3"/>
      <queryTableField id="4" name="Quantity" tableColumnId="4"/>
      <queryTableField id="5" name="Category" tableColumnId="5"/>
      <queryTableField id="6" name="Sub-Category" tableColumnId="6"/>
      <queryTableField id="7" name="PaymentMode" tableColumnId="7"/>
      <queryTableField id="8" name="Order Date" tableColumnId="8"/>
      <queryTableField id="9" name="CustomerName" tableColumnId="9"/>
      <queryTableField id="10" name="State" tableColumnId="10"/>
      <queryTableField id="11" name="City" tableColumnId="11"/>
      <queryTableField id="12" name="Year-Month" tableColumnId="12"/>
      <queryTableField id="13" name="Profit Margin %" tableColumnId="13"/>
      <queryTableField id="14" name="Quantity %" tableColumnId="14"/>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87D6F943-D3A7-4687-838F-DDC1C491B799}" sourceName="[Sales_Dataset].[PaymentMode]">
  <pivotTables>
    <pivotTable tabId="4" name="Sales by Year"/>
    <pivotTable tabId="4" name="PivotTable2"/>
    <pivotTable tabId="4" name="Total Sales per City"/>
    <pivotTable tabId="4" name="Distribution of Units by Category"/>
    <pivotTable tabId="4" name="PivotTable4"/>
    <pivotTable tabId="4" name="Sales growth per city"/>
  </pivotTables>
  <data>
    <olap pivotCacheId="1151007238">
      <levels count="2">
        <level uniqueName="[Sales_Dataset].[PaymentMode].[(All)]" sourceCaption="(All)" count="0"/>
        <level uniqueName="[Sales_Dataset].[PaymentMode].[PaymentMode]" sourceCaption="PaymentMode" count="5">
          <ranges>
            <range startItem="0">
              <i n="[Sales_Dataset].[PaymentMode].&amp;[COD]" c="COD"/>
              <i n="[Sales_Dataset].[PaymentMode].&amp;[Credit Card]" c="Credit Card"/>
              <i n="[Sales_Dataset].[PaymentMode].&amp;[Debit Card]" c="Debit Card"/>
              <i n="[Sales_Dataset].[PaymentMode].&amp;[EMI]" c="EMI"/>
              <i n="[Sales_Dataset].[PaymentMode].&amp;[UPI]" c="UPI"/>
            </range>
          </ranges>
        </level>
      </levels>
      <selections count="1">
        <selection n="[Sales_Dataset].[Payment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6B8CCA-4375-4ECB-B89F-1B8061622E1E}" sourceName="[Sales_Dataset].[Category]">
  <pivotTables>
    <pivotTable tabId="4" name="Sales by Year"/>
    <pivotTable tabId="4" name="PivotTable2"/>
    <pivotTable tabId="4" name="Total Sales per City"/>
    <pivotTable tabId="4" name="Distribution of Units by Category"/>
    <pivotTable tabId="4" name="PivotTable4"/>
    <pivotTable tabId="4" name="Sales growth per city"/>
  </pivotTables>
  <data>
    <olap pivotCacheId="1151007238">
      <levels count="2">
        <level uniqueName="[Sales_Dataset].[Category].[(All)]" sourceCaption="(All)" count="0"/>
        <level uniqueName="[Sales_Dataset].[Category].[Category]" sourceCaption="Category" count="3">
          <ranges>
            <range startItem="0">
              <i n="[Sales_Dataset].[Category].&amp;[Electronics]" c="Electronics"/>
              <i n="[Sales_Dataset].[Category].&amp;[Furniture]" c="Furniture"/>
              <i n="[Sales_Dataset].[Category].&amp;[Office Supplies]" c="Office Supplies"/>
            </range>
          </ranges>
        </level>
      </levels>
      <selections count="1">
        <selection n="[Sales_Datase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A3B84C2-D8E7-4FFC-8BB3-306CA330381F}" sourceName="[Sales_Dataset].[State]">
  <pivotTables>
    <pivotTable tabId="4" name="Sales by Year"/>
    <pivotTable tabId="4" name="PivotTable2"/>
    <pivotTable tabId="4" name="Total Sales per City"/>
    <pivotTable tabId="4" name="PivotTable4"/>
    <pivotTable tabId="4" name="Distribution of Units by Category"/>
  </pivotTables>
  <data>
    <olap pivotCacheId="1151007238">
      <levels count="2">
        <level uniqueName="[Sales_Dataset].[State].[(All)]" sourceCaption="(All)" count="0"/>
        <level uniqueName="[Sales_Dataset].[State].[State]" sourceCaption="State" count="6">
          <ranges>
            <range startItem="0">
              <i n="[Sales_Dataset].[State].&amp;[California]" c="California"/>
              <i n="[Sales_Dataset].[State].&amp;[Florida]" c="Florida"/>
              <i n="[Sales_Dataset].[State].&amp;[Illinois]" c="Illinois"/>
              <i n="[Sales_Dataset].[State].&amp;[New York]" c="New York"/>
              <i n="[Sales_Dataset].[State].&amp;[Ohio]" c="Ohio"/>
              <i n="[Sales_Dataset].[State].&amp;[Texas]" c="Texas"/>
            </range>
          </ranges>
        </level>
      </levels>
      <selections count="1">
        <selection n="[Sales_Dataset].[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327D442-D575-4261-BDCB-9E9DEE579F13}" sourceName="[Calendar].[Date Hierarchy]">
  <pivotTables>
    <pivotTable tabId="4" name="Total Sales per City"/>
    <pivotTable tabId="4" name="Distribution of Units by Category"/>
    <pivotTable tabId="4" name="PivotTable2"/>
    <pivotTable tabId="4" name="PivotTable4"/>
    <pivotTable tabId="4" name="Sales by Year"/>
    <pivotTable tabId="4" name="Sales growth per city"/>
    <pivotTable tabId="4" name="PivotTable1"/>
  </pivotTables>
  <data>
    <olap pivotCacheId="1151007238">
      <levels count="4">
        <level uniqueName="[Calendar].[Date Hierarchy].[(All)]" sourceCaption="(All)" count="0"/>
        <level uniqueName="[Calendar].[Date Hierarchy].[Year]" sourceCaption="Year" count="6">
          <ranges>
            <range startItem="0">
              <i n="[Calendar].[Date Hierarchy].[Year].&amp;[2020]" c="2020"/>
              <i n="[Calendar].[Date Hierarchy].[Year].&amp;[2021]" c="2021"/>
              <i n="[Calendar].[Date Hierarchy].[Year].&amp;[2022]" c="2022"/>
              <i n="[Calendar].[Date Hierarchy].[Year].&amp;[2023]" c="2023"/>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ode 1" xr10:uid="{3EF0DC90-B48D-4F58-A962-20CD539D157D}" cache="Slicer_PaymentMode" caption="PaymentMode" level="1" style="Slicer Style 2" rowHeight="457200"/>
  <slicer name="PaymentMode 2" xr10:uid="{C5860094-05D0-4C8D-8E25-9CC538705F97}" cache="Slicer_PaymentMode" caption="PaymentMode" level="1" style="Slicer Style 2" rowHeight="457200"/>
  <slicer name="Category 1" xr10:uid="{8C45ACA7-7158-4B17-8B52-89A52628F50A}" cache="Slicer_Category" caption="Category" level="1" style="Slicer Style 2" rowHeight="457200"/>
  <slicer name="Category 2" xr10:uid="{E70531A4-E70E-4657-A3A0-F233719719EC}" cache="Slicer_Category" caption="Category" level="1" style="Slicer Style 2" rowHeight="457200"/>
  <slicer name="State 1" xr10:uid="{A3008DAC-6DEE-4580-B04D-6B697771C5A8}" cache="Slicer_State" caption="State" level="1" style="Slicer Style 2" rowHeight="457200"/>
  <slicer name="State 2" xr10:uid="{FBA89DA0-044E-404C-A134-7637EE98EE68}" cache="Slicer_State" caption="State" level="1" style="Slicer Style 2" rowHeight="457200"/>
  <slicer name="Year" xr10:uid="{A8C4473A-8405-4F4C-A2C8-8C94A2489ACE}" cache="Slicer_Date_Hierarchy" caption="Year" columnCount="2" level="1" style="Slicer Style 2" rowHeight="457200"/>
  <slicer name="Year 1" xr10:uid="{21EBF7E9-7943-4DBB-901C-09D0B3654547}" cache="Slicer_Date_Hierarchy" caption="Year" columnCount="2" level="1" style="Slicer Style 2"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A59A2F-36C4-4A8D-BAB9-1368FC987246}" name="Sales" displayName="Sales" ref="A1:N1195" tableType="queryTable" totalsRowShown="0">
  <autoFilter ref="A1:N1195" xr:uid="{A7A59A2F-36C4-4A8D-BAB9-1368FC987246}"/>
  <tableColumns count="14">
    <tableColumn id="1" xr3:uid="{304AC3FA-8727-48B7-B26C-A5ECC402633A}" uniqueName="1" name="Order ID" queryTableFieldId="1" dataDxfId="8"/>
    <tableColumn id="2" xr3:uid="{4B37EB1D-DE2F-416D-87AD-2B25F841D2BB}" uniqueName="2" name="Amount" queryTableFieldId="2"/>
    <tableColumn id="3" xr3:uid="{4B572ECE-0B78-42AB-B41F-DE0408C41585}" uniqueName="3" name="Profit" queryTableFieldId="3"/>
    <tableColumn id="4" xr3:uid="{3658A667-BF66-4C92-83B8-03AAD14613D2}" uniqueName="4" name="Quantity" queryTableFieldId="4"/>
    <tableColumn id="5" xr3:uid="{551CCFE1-A26C-4F6C-9BAE-2BC915C414C6}" uniqueName="5" name="Category" queryTableFieldId="5" dataDxfId="7"/>
    <tableColumn id="6" xr3:uid="{8D837BA0-33DC-44B7-81AE-E7EECA605306}" uniqueName="6" name="Sub-Category" queryTableFieldId="6" dataDxfId="6"/>
    <tableColumn id="7" xr3:uid="{9ADC5B85-5A0A-4267-86A9-BC3EE3A908E9}" uniqueName="7" name="PaymentMode" queryTableFieldId="7" dataDxfId="5"/>
    <tableColumn id="8" xr3:uid="{6F8FBB64-20FD-4306-8FCC-FB8B77F1970F}" uniqueName="8" name="Order Date" queryTableFieldId="8" dataDxfId="1"/>
    <tableColumn id="9" xr3:uid="{A141D0C0-80A0-4C73-8BB7-AEF9A369A90A}" uniqueName="9" name="CustomerName" queryTableFieldId="9" dataDxfId="4"/>
    <tableColumn id="10" xr3:uid="{1F086363-34EF-41A6-BEC7-67DF5D32A38E}" uniqueName="10" name="State" queryTableFieldId="10" dataDxfId="3"/>
    <tableColumn id="11" xr3:uid="{32DC3AE4-2ED1-4ECB-856D-1C1B08BFD09C}" uniqueName="11" name="City" queryTableFieldId="11" dataDxfId="2"/>
    <tableColumn id="12" xr3:uid="{CA866EAA-EC75-4775-B418-58A7A488A35E}" uniqueName="12" name="Year-Month" queryTableFieldId="12" dataDxfId="0"/>
    <tableColumn id="13" xr3:uid="{4A05D177-8520-4ECC-B21F-415111CB7C23}" uniqueName="13" name="Profit Margin %" queryTableFieldId="13"/>
    <tableColumn id="14" xr3:uid="{46C38690-87A5-447E-A9FB-81DCF844BA01}" uniqueName="14" name="Quantity %"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8F859-609B-4D32-9304-D8E3CF584D3D}">
  <dimension ref="A1:N1195"/>
  <sheetViews>
    <sheetView workbookViewId="0">
      <selection activeCell="G1" sqref="G1"/>
    </sheetView>
  </sheetViews>
  <sheetFormatPr defaultRowHeight="15" x14ac:dyDescent="0.25"/>
  <cols>
    <col min="1" max="1" width="10.7109375" bestFit="1" customWidth="1"/>
    <col min="2" max="2" width="10.42578125" bestFit="1" customWidth="1"/>
    <col min="3" max="3" width="8.28515625" bestFit="1" customWidth="1"/>
    <col min="4" max="4" width="11" bestFit="1" customWidth="1"/>
    <col min="5" max="5" width="14.5703125" bestFit="1" customWidth="1"/>
    <col min="6" max="6" width="16.28515625" bestFit="1" customWidth="1"/>
    <col min="7" max="7" width="16.5703125" bestFit="1" customWidth="1"/>
    <col min="8" max="8" width="13" bestFit="1" customWidth="1"/>
    <col min="9" max="9" width="23.28515625" bestFit="1" customWidth="1"/>
    <col min="10" max="10" width="9.5703125" bestFit="1" customWidth="1"/>
    <col min="11" max="11" width="13.42578125" bestFit="1" customWidth="1"/>
    <col min="12" max="12" width="14" bestFit="1" customWidth="1"/>
    <col min="13" max="13" width="17.140625" bestFit="1" customWidth="1"/>
    <col min="14" max="14" width="13"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1412</v>
      </c>
    </row>
    <row r="2" spans="1:14" x14ac:dyDescent="0.25">
      <c r="A2" t="s">
        <v>13</v>
      </c>
      <c r="B2">
        <v>9726</v>
      </c>
      <c r="C2">
        <v>1275</v>
      </c>
      <c r="D2">
        <v>5</v>
      </c>
      <c r="E2" t="s">
        <v>14</v>
      </c>
      <c r="F2" t="s">
        <v>15</v>
      </c>
      <c r="G2" t="s">
        <v>16</v>
      </c>
      <c r="H2" s="1">
        <v>45104</v>
      </c>
      <c r="I2" t="s">
        <v>17</v>
      </c>
      <c r="J2" t="s">
        <v>18</v>
      </c>
      <c r="K2" t="s">
        <v>19</v>
      </c>
      <c r="L2" s="1">
        <v>45078</v>
      </c>
      <c r="M2">
        <v>0.13109191856878499</v>
      </c>
      <c r="N2">
        <v>3.9231071008238503E-4</v>
      </c>
    </row>
    <row r="3" spans="1:14" x14ac:dyDescent="0.25">
      <c r="A3" t="s">
        <v>13</v>
      </c>
      <c r="B3">
        <v>9726</v>
      </c>
      <c r="C3">
        <v>1275</v>
      </c>
      <c r="D3">
        <v>5</v>
      </c>
      <c r="E3" t="s">
        <v>14</v>
      </c>
      <c r="F3" t="s">
        <v>15</v>
      </c>
      <c r="G3" t="s">
        <v>16</v>
      </c>
      <c r="H3" s="1">
        <v>45653</v>
      </c>
      <c r="I3" t="s">
        <v>20</v>
      </c>
      <c r="J3" t="s">
        <v>21</v>
      </c>
      <c r="K3" t="s">
        <v>22</v>
      </c>
      <c r="L3" s="1">
        <v>45627</v>
      </c>
      <c r="M3">
        <v>0.13109191856878499</v>
      </c>
      <c r="N3">
        <v>3.9231071008238503E-4</v>
      </c>
    </row>
    <row r="4" spans="1:14" x14ac:dyDescent="0.25">
      <c r="A4" t="s">
        <v>13</v>
      </c>
      <c r="B4">
        <v>9726</v>
      </c>
      <c r="C4">
        <v>1275</v>
      </c>
      <c r="D4">
        <v>5</v>
      </c>
      <c r="E4" t="s">
        <v>14</v>
      </c>
      <c r="F4" t="s">
        <v>15</v>
      </c>
      <c r="G4" t="s">
        <v>16</v>
      </c>
      <c r="H4" s="1">
        <v>44402</v>
      </c>
      <c r="I4" t="s">
        <v>23</v>
      </c>
      <c r="J4" t="s">
        <v>24</v>
      </c>
      <c r="K4" t="s">
        <v>25</v>
      </c>
      <c r="L4" s="1">
        <v>44378</v>
      </c>
      <c r="M4">
        <v>0.13109191856878499</v>
      </c>
      <c r="N4">
        <v>3.9231071008238503E-4</v>
      </c>
    </row>
    <row r="5" spans="1:14" x14ac:dyDescent="0.25">
      <c r="A5" t="s">
        <v>13</v>
      </c>
      <c r="B5">
        <v>4975</v>
      </c>
      <c r="C5">
        <v>1330</v>
      </c>
      <c r="D5">
        <v>14</v>
      </c>
      <c r="E5" t="s">
        <v>14</v>
      </c>
      <c r="F5" t="s">
        <v>26</v>
      </c>
      <c r="G5" t="s">
        <v>16</v>
      </c>
      <c r="H5" s="1">
        <v>45104</v>
      </c>
      <c r="I5" t="s">
        <v>17</v>
      </c>
      <c r="J5" t="s">
        <v>18</v>
      </c>
      <c r="K5" t="s">
        <v>19</v>
      </c>
      <c r="L5" s="1">
        <v>45078</v>
      </c>
      <c r="M5">
        <v>0.267336683417085</v>
      </c>
      <c r="N5">
        <v>1.0984699882306799E-3</v>
      </c>
    </row>
    <row r="6" spans="1:14" x14ac:dyDescent="0.25">
      <c r="A6" t="s">
        <v>13</v>
      </c>
      <c r="B6">
        <v>4975</v>
      </c>
      <c r="C6">
        <v>1330</v>
      </c>
      <c r="D6">
        <v>14</v>
      </c>
      <c r="E6" t="s">
        <v>14</v>
      </c>
      <c r="F6" t="s">
        <v>26</v>
      </c>
      <c r="G6" t="s">
        <v>16</v>
      </c>
      <c r="H6" s="1">
        <v>45653</v>
      </c>
      <c r="I6" t="s">
        <v>20</v>
      </c>
      <c r="J6" t="s">
        <v>21</v>
      </c>
      <c r="K6" t="s">
        <v>22</v>
      </c>
      <c r="L6" s="1">
        <v>45627</v>
      </c>
      <c r="M6">
        <v>0.267336683417085</v>
      </c>
      <c r="N6">
        <v>1.0984699882306799E-3</v>
      </c>
    </row>
    <row r="7" spans="1:14" x14ac:dyDescent="0.25">
      <c r="A7" t="s">
        <v>13</v>
      </c>
      <c r="B7">
        <v>4975</v>
      </c>
      <c r="C7">
        <v>1330</v>
      </c>
      <c r="D7">
        <v>14</v>
      </c>
      <c r="E7" t="s">
        <v>14</v>
      </c>
      <c r="F7" t="s">
        <v>26</v>
      </c>
      <c r="G7" t="s">
        <v>16</v>
      </c>
      <c r="H7" s="1">
        <v>44402</v>
      </c>
      <c r="I7" t="s">
        <v>23</v>
      </c>
      <c r="J7" t="s">
        <v>24</v>
      </c>
      <c r="K7" t="s">
        <v>25</v>
      </c>
      <c r="L7" s="1">
        <v>44378</v>
      </c>
      <c r="M7">
        <v>0.267336683417085</v>
      </c>
      <c r="N7">
        <v>1.0984699882306799E-3</v>
      </c>
    </row>
    <row r="8" spans="1:14" x14ac:dyDescent="0.25">
      <c r="A8" t="s">
        <v>27</v>
      </c>
      <c r="B8">
        <v>1525</v>
      </c>
      <c r="C8">
        <v>185</v>
      </c>
      <c r="D8">
        <v>12</v>
      </c>
      <c r="E8" t="s">
        <v>28</v>
      </c>
      <c r="F8" t="s">
        <v>29</v>
      </c>
      <c r="G8" t="s">
        <v>30</v>
      </c>
      <c r="H8" s="1">
        <v>45423</v>
      </c>
      <c r="I8" t="s">
        <v>31</v>
      </c>
      <c r="J8" t="s">
        <v>18</v>
      </c>
      <c r="K8" t="s">
        <v>32</v>
      </c>
      <c r="L8" s="1">
        <v>45413</v>
      </c>
      <c r="M8">
        <v>0.121311475409836</v>
      </c>
      <c r="N8">
        <v>9.4154570419772402E-4</v>
      </c>
    </row>
    <row r="9" spans="1:14" x14ac:dyDescent="0.25">
      <c r="A9" t="s">
        <v>27</v>
      </c>
      <c r="B9">
        <v>1525</v>
      </c>
      <c r="C9">
        <v>185</v>
      </c>
      <c r="D9">
        <v>12</v>
      </c>
      <c r="E9" t="s">
        <v>28</v>
      </c>
      <c r="F9" t="s">
        <v>29</v>
      </c>
      <c r="G9" t="s">
        <v>30</v>
      </c>
      <c r="H9" s="1">
        <v>44478</v>
      </c>
      <c r="I9" t="s">
        <v>33</v>
      </c>
      <c r="J9" t="s">
        <v>18</v>
      </c>
      <c r="K9" t="s">
        <v>19</v>
      </c>
      <c r="L9" s="1">
        <v>44470</v>
      </c>
      <c r="M9">
        <v>0.121311475409836</v>
      </c>
      <c r="N9">
        <v>9.4154570419772402E-4</v>
      </c>
    </row>
    <row r="10" spans="1:14" x14ac:dyDescent="0.25">
      <c r="A10" t="s">
        <v>34</v>
      </c>
      <c r="B10">
        <v>883</v>
      </c>
      <c r="C10">
        <v>117</v>
      </c>
      <c r="D10">
        <v>10</v>
      </c>
      <c r="E10" t="s">
        <v>14</v>
      </c>
      <c r="F10" t="s">
        <v>35</v>
      </c>
      <c r="G10" t="s">
        <v>36</v>
      </c>
      <c r="H10" s="1">
        <v>44883</v>
      </c>
      <c r="I10" t="s">
        <v>37</v>
      </c>
      <c r="J10" t="s">
        <v>38</v>
      </c>
      <c r="K10" t="s">
        <v>39</v>
      </c>
      <c r="L10" s="1">
        <v>44866</v>
      </c>
      <c r="M10">
        <v>0.13250283125707801</v>
      </c>
      <c r="N10">
        <v>7.8462142016477005E-4</v>
      </c>
    </row>
    <row r="11" spans="1:14" x14ac:dyDescent="0.25">
      <c r="A11" t="s">
        <v>34</v>
      </c>
      <c r="B11">
        <v>8127</v>
      </c>
      <c r="C11">
        <v>3551</v>
      </c>
      <c r="D11">
        <v>16</v>
      </c>
      <c r="E11" t="s">
        <v>40</v>
      </c>
      <c r="F11" t="s">
        <v>41</v>
      </c>
      <c r="G11" t="s">
        <v>42</v>
      </c>
      <c r="H11" s="1">
        <v>44883</v>
      </c>
      <c r="I11" t="s">
        <v>37</v>
      </c>
      <c r="J11" t="s">
        <v>38</v>
      </c>
      <c r="K11" t="s">
        <v>39</v>
      </c>
      <c r="L11" s="1">
        <v>44866</v>
      </c>
      <c r="M11">
        <v>0.43693859972929699</v>
      </c>
      <c r="N11">
        <v>1.25539427226363E-3</v>
      </c>
    </row>
    <row r="12" spans="1:14" x14ac:dyDescent="0.25">
      <c r="A12" t="s">
        <v>43</v>
      </c>
      <c r="B12">
        <v>2516</v>
      </c>
      <c r="C12">
        <v>734</v>
      </c>
      <c r="D12">
        <v>19</v>
      </c>
      <c r="E12" t="s">
        <v>40</v>
      </c>
      <c r="F12" t="s">
        <v>44</v>
      </c>
      <c r="G12" t="s">
        <v>16</v>
      </c>
      <c r="H12" s="1">
        <v>45242</v>
      </c>
      <c r="I12" t="s">
        <v>45</v>
      </c>
      <c r="J12" t="s">
        <v>24</v>
      </c>
      <c r="K12" t="s">
        <v>46</v>
      </c>
      <c r="L12" s="1">
        <v>45231</v>
      </c>
      <c r="M12">
        <v>0.29173290937996799</v>
      </c>
      <c r="N12">
        <v>1.4907806983130601E-3</v>
      </c>
    </row>
    <row r="13" spans="1:14" x14ac:dyDescent="0.25">
      <c r="A13" t="s">
        <v>47</v>
      </c>
      <c r="B13">
        <v>2975</v>
      </c>
      <c r="C13">
        <v>462</v>
      </c>
      <c r="D13">
        <v>14</v>
      </c>
      <c r="E13" t="s">
        <v>28</v>
      </c>
      <c r="F13" t="s">
        <v>29</v>
      </c>
      <c r="G13" t="s">
        <v>42</v>
      </c>
      <c r="H13" s="1">
        <v>43913</v>
      </c>
      <c r="I13" t="s">
        <v>48</v>
      </c>
      <c r="J13" t="s">
        <v>24</v>
      </c>
      <c r="K13" t="s">
        <v>46</v>
      </c>
      <c r="L13" s="1">
        <v>43891</v>
      </c>
      <c r="M13">
        <v>0.155294117647059</v>
      </c>
      <c r="N13">
        <v>1.0984699882306799E-3</v>
      </c>
    </row>
    <row r="14" spans="1:14" x14ac:dyDescent="0.25">
      <c r="A14" t="s">
        <v>49</v>
      </c>
      <c r="B14">
        <v>6851</v>
      </c>
      <c r="C14">
        <v>2812</v>
      </c>
      <c r="D14">
        <v>1</v>
      </c>
      <c r="E14" t="s">
        <v>28</v>
      </c>
      <c r="F14" t="s">
        <v>50</v>
      </c>
      <c r="G14" t="s">
        <v>30</v>
      </c>
      <c r="H14" s="1">
        <v>43955</v>
      </c>
      <c r="I14" t="s">
        <v>51</v>
      </c>
      <c r="J14" t="s">
        <v>18</v>
      </c>
      <c r="K14" t="s">
        <v>32</v>
      </c>
      <c r="L14" s="1">
        <v>43952</v>
      </c>
      <c r="M14">
        <v>0.41045102904685399</v>
      </c>
      <c r="N14">
        <v>7.8462142016476997E-5</v>
      </c>
    </row>
    <row r="15" spans="1:14" x14ac:dyDescent="0.25">
      <c r="A15" t="s">
        <v>49</v>
      </c>
      <c r="B15">
        <v>7626</v>
      </c>
      <c r="C15">
        <v>1046</v>
      </c>
      <c r="D15">
        <v>15</v>
      </c>
      <c r="E15" t="s">
        <v>40</v>
      </c>
      <c r="F15" t="s">
        <v>52</v>
      </c>
      <c r="G15" t="s">
        <v>42</v>
      </c>
      <c r="H15" s="1">
        <v>43955</v>
      </c>
      <c r="I15" t="s">
        <v>51</v>
      </c>
      <c r="J15" t="s">
        <v>18</v>
      </c>
      <c r="K15" t="s">
        <v>32</v>
      </c>
      <c r="L15" s="1">
        <v>43952</v>
      </c>
      <c r="M15">
        <v>0.13716233936532901</v>
      </c>
      <c r="N15">
        <v>1.17693213024716E-3</v>
      </c>
    </row>
    <row r="16" spans="1:14" x14ac:dyDescent="0.25">
      <c r="A16" t="s">
        <v>49</v>
      </c>
      <c r="B16">
        <v>1023</v>
      </c>
      <c r="C16">
        <v>78</v>
      </c>
      <c r="D16">
        <v>9</v>
      </c>
      <c r="E16" t="s">
        <v>40</v>
      </c>
      <c r="F16" t="s">
        <v>41</v>
      </c>
      <c r="G16" t="s">
        <v>16</v>
      </c>
      <c r="H16" s="1">
        <v>43955</v>
      </c>
      <c r="I16" t="s">
        <v>51</v>
      </c>
      <c r="J16" t="s">
        <v>18</v>
      </c>
      <c r="K16" t="s">
        <v>32</v>
      </c>
      <c r="L16" s="1">
        <v>43952</v>
      </c>
      <c r="M16">
        <v>7.62463343108504E-2</v>
      </c>
      <c r="N16">
        <v>7.0615927814829404E-4</v>
      </c>
    </row>
    <row r="17" spans="1:14" x14ac:dyDescent="0.25">
      <c r="A17" t="s">
        <v>53</v>
      </c>
      <c r="B17">
        <v>7600</v>
      </c>
      <c r="C17">
        <v>1098</v>
      </c>
      <c r="D17">
        <v>10</v>
      </c>
      <c r="E17" t="s">
        <v>28</v>
      </c>
      <c r="F17" t="s">
        <v>29</v>
      </c>
      <c r="G17" t="s">
        <v>16</v>
      </c>
      <c r="H17" s="1">
        <v>45239</v>
      </c>
      <c r="I17" t="s">
        <v>54</v>
      </c>
      <c r="J17" t="s">
        <v>21</v>
      </c>
      <c r="K17" t="s">
        <v>55</v>
      </c>
      <c r="L17" s="1">
        <v>45231</v>
      </c>
      <c r="M17">
        <v>0.144473684210526</v>
      </c>
      <c r="N17">
        <v>7.8462142016477005E-4</v>
      </c>
    </row>
    <row r="18" spans="1:14" x14ac:dyDescent="0.25">
      <c r="A18" t="s">
        <v>53</v>
      </c>
      <c r="B18">
        <v>7501</v>
      </c>
      <c r="C18">
        <v>262</v>
      </c>
      <c r="D18">
        <v>18</v>
      </c>
      <c r="E18" t="s">
        <v>28</v>
      </c>
      <c r="F18" t="s">
        <v>56</v>
      </c>
      <c r="G18" t="s">
        <v>57</v>
      </c>
      <c r="H18" s="1">
        <v>45239</v>
      </c>
      <c r="I18" t="s">
        <v>54</v>
      </c>
      <c r="J18" t="s">
        <v>21</v>
      </c>
      <c r="K18" t="s">
        <v>55</v>
      </c>
      <c r="L18" s="1">
        <v>45231</v>
      </c>
      <c r="M18">
        <v>3.4928676176509799E-2</v>
      </c>
      <c r="N18">
        <v>1.41231855629659E-3</v>
      </c>
    </row>
    <row r="19" spans="1:14" x14ac:dyDescent="0.25">
      <c r="A19" t="s">
        <v>58</v>
      </c>
      <c r="B19">
        <v>725</v>
      </c>
      <c r="C19">
        <v>133</v>
      </c>
      <c r="D19">
        <v>6</v>
      </c>
      <c r="E19" t="s">
        <v>28</v>
      </c>
      <c r="F19" t="s">
        <v>56</v>
      </c>
      <c r="G19" t="s">
        <v>42</v>
      </c>
      <c r="H19" s="1">
        <v>45656</v>
      </c>
      <c r="I19" t="s">
        <v>59</v>
      </c>
      <c r="J19" t="s">
        <v>24</v>
      </c>
      <c r="K19" t="s">
        <v>60</v>
      </c>
      <c r="L19" s="1">
        <v>45627</v>
      </c>
      <c r="M19">
        <v>0.18344827586206899</v>
      </c>
      <c r="N19">
        <v>4.7077285209886201E-4</v>
      </c>
    </row>
    <row r="20" spans="1:14" x14ac:dyDescent="0.25">
      <c r="A20" t="s">
        <v>58</v>
      </c>
      <c r="B20">
        <v>7201</v>
      </c>
      <c r="C20">
        <v>2685</v>
      </c>
      <c r="D20">
        <v>2</v>
      </c>
      <c r="E20" t="s">
        <v>40</v>
      </c>
      <c r="F20" t="s">
        <v>41</v>
      </c>
      <c r="G20" t="s">
        <v>42</v>
      </c>
      <c r="H20" s="1">
        <v>45656</v>
      </c>
      <c r="I20" t="s">
        <v>59</v>
      </c>
      <c r="J20" t="s">
        <v>24</v>
      </c>
      <c r="K20" t="s">
        <v>60</v>
      </c>
      <c r="L20" s="1">
        <v>45627</v>
      </c>
      <c r="M20">
        <v>0.37286487987779499</v>
      </c>
      <c r="N20">
        <v>1.5692428403295399E-4</v>
      </c>
    </row>
    <row r="21" spans="1:14" x14ac:dyDescent="0.25">
      <c r="A21" t="s">
        <v>61</v>
      </c>
      <c r="B21">
        <v>1629</v>
      </c>
      <c r="C21">
        <v>265</v>
      </c>
      <c r="D21">
        <v>1</v>
      </c>
      <c r="E21" t="s">
        <v>28</v>
      </c>
      <c r="F21" t="s">
        <v>56</v>
      </c>
      <c r="G21" t="s">
        <v>16</v>
      </c>
      <c r="H21" s="1">
        <v>45699</v>
      </c>
      <c r="I21" t="s">
        <v>62</v>
      </c>
      <c r="J21" t="s">
        <v>63</v>
      </c>
      <c r="K21" t="s">
        <v>64</v>
      </c>
      <c r="L21" s="1">
        <v>45689</v>
      </c>
      <c r="M21">
        <v>0.162676488643339</v>
      </c>
      <c r="N21">
        <v>7.8462142016476997E-5</v>
      </c>
    </row>
    <row r="22" spans="1:14" x14ac:dyDescent="0.25">
      <c r="A22" t="s">
        <v>61</v>
      </c>
      <c r="B22">
        <v>1629</v>
      </c>
      <c r="C22">
        <v>265</v>
      </c>
      <c r="D22">
        <v>1</v>
      </c>
      <c r="E22" t="s">
        <v>28</v>
      </c>
      <c r="F22" t="s">
        <v>56</v>
      </c>
      <c r="G22" t="s">
        <v>16</v>
      </c>
      <c r="H22" s="1">
        <v>45314</v>
      </c>
      <c r="I22" t="s">
        <v>65</v>
      </c>
      <c r="J22" t="s">
        <v>38</v>
      </c>
      <c r="K22" t="s">
        <v>66</v>
      </c>
      <c r="L22" s="1">
        <v>45292</v>
      </c>
      <c r="M22">
        <v>0.162676488643339</v>
      </c>
      <c r="N22">
        <v>7.8462142016476997E-5</v>
      </c>
    </row>
    <row r="23" spans="1:14" x14ac:dyDescent="0.25">
      <c r="A23" t="s">
        <v>67</v>
      </c>
      <c r="B23">
        <v>8971</v>
      </c>
      <c r="C23">
        <v>2971</v>
      </c>
      <c r="D23">
        <v>19</v>
      </c>
      <c r="E23" t="s">
        <v>28</v>
      </c>
      <c r="F23" t="s">
        <v>68</v>
      </c>
      <c r="G23" t="s">
        <v>30</v>
      </c>
      <c r="H23" s="1">
        <v>44163</v>
      </c>
      <c r="I23" t="s">
        <v>69</v>
      </c>
      <c r="J23" t="s">
        <v>38</v>
      </c>
      <c r="K23" t="s">
        <v>66</v>
      </c>
      <c r="L23" s="1">
        <v>44136</v>
      </c>
      <c r="M23">
        <v>0.33117824099877402</v>
      </c>
      <c r="N23">
        <v>1.4907806983130601E-3</v>
      </c>
    </row>
    <row r="24" spans="1:14" x14ac:dyDescent="0.25">
      <c r="A24" t="s">
        <v>67</v>
      </c>
      <c r="B24">
        <v>2939</v>
      </c>
      <c r="C24">
        <v>894</v>
      </c>
      <c r="D24">
        <v>20</v>
      </c>
      <c r="E24" t="s">
        <v>28</v>
      </c>
      <c r="F24" t="s">
        <v>68</v>
      </c>
      <c r="G24" t="s">
        <v>57</v>
      </c>
      <c r="H24" s="1">
        <v>44163</v>
      </c>
      <c r="I24" t="s">
        <v>69</v>
      </c>
      <c r="J24" t="s">
        <v>38</v>
      </c>
      <c r="K24" t="s">
        <v>66</v>
      </c>
      <c r="L24" s="1">
        <v>44136</v>
      </c>
      <c r="M24">
        <v>0.30418509697175899</v>
      </c>
      <c r="N24">
        <v>1.5692428403295401E-3</v>
      </c>
    </row>
    <row r="25" spans="1:14" x14ac:dyDescent="0.25">
      <c r="A25" t="s">
        <v>70</v>
      </c>
      <c r="B25">
        <v>9380</v>
      </c>
      <c r="C25">
        <v>414</v>
      </c>
      <c r="D25">
        <v>11</v>
      </c>
      <c r="E25" t="s">
        <v>14</v>
      </c>
      <c r="F25" t="s">
        <v>71</v>
      </c>
      <c r="G25" t="s">
        <v>16</v>
      </c>
      <c r="H25" s="1">
        <v>45442</v>
      </c>
      <c r="I25" t="s">
        <v>72</v>
      </c>
      <c r="J25" t="s">
        <v>24</v>
      </c>
      <c r="K25" t="s">
        <v>60</v>
      </c>
      <c r="L25" s="1">
        <v>45413</v>
      </c>
      <c r="M25">
        <v>4.4136460554371003E-2</v>
      </c>
      <c r="N25">
        <v>8.6308356218124801E-4</v>
      </c>
    </row>
    <row r="26" spans="1:14" x14ac:dyDescent="0.25">
      <c r="A26" t="s">
        <v>70</v>
      </c>
      <c r="B26">
        <v>8558</v>
      </c>
      <c r="C26">
        <v>1644</v>
      </c>
      <c r="D26">
        <v>18</v>
      </c>
      <c r="E26" t="s">
        <v>28</v>
      </c>
      <c r="F26" t="s">
        <v>68</v>
      </c>
      <c r="G26" t="s">
        <v>42</v>
      </c>
      <c r="H26" s="1">
        <v>45442</v>
      </c>
      <c r="I26" t="s">
        <v>72</v>
      </c>
      <c r="J26" t="s">
        <v>24</v>
      </c>
      <c r="K26" t="s">
        <v>60</v>
      </c>
      <c r="L26" s="1">
        <v>45413</v>
      </c>
      <c r="M26">
        <v>0.19210095816779599</v>
      </c>
      <c r="N26">
        <v>1.41231855629659E-3</v>
      </c>
    </row>
    <row r="27" spans="1:14" x14ac:dyDescent="0.25">
      <c r="A27" t="s">
        <v>70</v>
      </c>
      <c r="B27">
        <v>4080</v>
      </c>
      <c r="C27">
        <v>72</v>
      </c>
      <c r="D27">
        <v>17</v>
      </c>
      <c r="E27" t="s">
        <v>28</v>
      </c>
      <c r="F27" t="s">
        <v>56</v>
      </c>
      <c r="G27" t="s">
        <v>57</v>
      </c>
      <c r="H27" s="1">
        <v>45442</v>
      </c>
      <c r="I27" t="s">
        <v>72</v>
      </c>
      <c r="J27" t="s">
        <v>24</v>
      </c>
      <c r="K27" t="s">
        <v>60</v>
      </c>
      <c r="L27" s="1">
        <v>45413</v>
      </c>
      <c r="M27">
        <v>1.7647058823529401E-2</v>
      </c>
      <c r="N27">
        <v>1.33385641428011E-3</v>
      </c>
    </row>
    <row r="28" spans="1:14" x14ac:dyDescent="0.25">
      <c r="A28" t="s">
        <v>73</v>
      </c>
      <c r="B28">
        <v>4206</v>
      </c>
      <c r="C28">
        <v>1821</v>
      </c>
      <c r="D28">
        <v>17</v>
      </c>
      <c r="E28" t="s">
        <v>14</v>
      </c>
      <c r="F28" t="s">
        <v>15</v>
      </c>
      <c r="G28" t="s">
        <v>36</v>
      </c>
      <c r="H28" s="1">
        <v>44584</v>
      </c>
      <c r="I28" t="s">
        <v>74</v>
      </c>
      <c r="J28" t="s">
        <v>63</v>
      </c>
      <c r="K28" t="s">
        <v>75</v>
      </c>
      <c r="L28" s="1">
        <v>44562</v>
      </c>
      <c r="M28">
        <v>0.43295292439372302</v>
      </c>
      <c r="N28">
        <v>1.33385641428011E-3</v>
      </c>
    </row>
    <row r="29" spans="1:14" x14ac:dyDescent="0.25">
      <c r="A29" t="s">
        <v>76</v>
      </c>
      <c r="B29">
        <v>5219</v>
      </c>
      <c r="C29">
        <v>1180</v>
      </c>
      <c r="D29">
        <v>20</v>
      </c>
      <c r="E29" t="s">
        <v>28</v>
      </c>
      <c r="F29" t="s">
        <v>68</v>
      </c>
      <c r="G29" t="s">
        <v>57</v>
      </c>
      <c r="H29" s="1">
        <v>44547</v>
      </c>
      <c r="I29" t="s">
        <v>77</v>
      </c>
      <c r="J29" t="s">
        <v>24</v>
      </c>
      <c r="K29" t="s">
        <v>46</v>
      </c>
      <c r="L29" s="1">
        <v>44531</v>
      </c>
      <c r="M29">
        <v>0.22609695343935601</v>
      </c>
      <c r="N29">
        <v>1.5692428403295401E-3</v>
      </c>
    </row>
    <row r="30" spans="1:14" x14ac:dyDescent="0.25">
      <c r="A30" t="s">
        <v>76</v>
      </c>
      <c r="B30">
        <v>5219</v>
      </c>
      <c r="C30">
        <v>1180</v>
      </c>
      <c r="D30">
        <v>20</v>
      </c>
      <c r="E30" t="s">
        <v>28</v>
      </c>
      <c r="F30" t="s">
        <v>68</v>
      </c>
      <c r="G30" t="s">
        <v>57</v>
      </c>
      <c r="H30" s="1">
        <v>44960</v>
      </c>
      <c r="I30" t="s">
        <v>78</v>
      </c>
      <c r="J30" t="s">
        <v>38</v>
      </c>
      <c r="K30" t="s">
        <v>79</v>
      </c>
      <c r="L30" s="1">
        <v>44958</v>
      </c>
      <c r="M30">
        <v>0.22609695343935601</v>
      </c>
      <c r="N30">
        <v>1.5692428403295401E-3</v>
      </c>
    </row>
    <row r="31" spans="1:14" x14ac:dyDescent="0.25">
      <c r="A31" t="s">
        <v>80</v>
      </c>
      <c r="B31">
        <v>3686</v>
      </c>
      <c r="C31">
        <v>760</v>
      </c>
      <c r="D31">
        <v>20</v>
      </c>
      <c r="E31" t="s">
        <v>28</v>
      </c>
      <c r="F31" t="s">
        <v>29</v>
      </c>
      <c r="G31" t="s">
        <v>30</v>
      </c>
      <c r="H31" s="1">
        <v>44864</v>
      </c>
      <c r="I31" t="s">
        <v>81</v>
      </c>
      <c r="J31" t="s">
        <v>38</v>
      </c>
      <c r="K31" t="s">
        <v>79</v>
      </c>
      <c r="L31" s="1">
        <v>44835</v>
      </c>
      <c r="M31">
        <v>0.20618556701030899</v>
      </c>
      <c r="N31">
        <v>1.5692428403295401E-3</v>
      </c>
    </row>
    <row r="32" spans="1:14" x14ac:dyDescent="0.25">
      <c r="A32" t="s">
        <v>80</v>
      </c>
      <c r="B32">
        <v>3686</v>
      </c>
      <c r="C32">
        <v>760</v>
      </c>
      <c r="D32">
        <v>20</v>
      </c>
      <c r="E32" t="s">
        <v>28</v>
      </c>
      <c r="F32" t="s">
        <v>29</v>
      </c>
      <c r="G32" t="s">
        <v>30</v>
      </c>
      <c r="H32" s="1">
        <v>44576</v>
      </c>
      <c r="I32" t="s">
        <v>82</v>
      </c>
      <c r="J32" t="s">
        <v>83</v>
      </c>
      <c r="K32" t="s">
        <v>84</v>
      </c>
      <c r="L32" s="1">
        <v>44562</v>
      </c>
      <c r="M32">
        <v>0.20618556701030899</v>
      </c>
      <c r="N32">
        <v>1.5692428403295401E-3</v>
      </c>
    </row>
    <row r="33" spans="1:14" x14ac:dyDescent="0.25">
      <c r="A33" t="s">
        <v>85</v>
      </c>
      <c r="B33">
        <v>6045</v>
      </c>
      <c r="C33">
        <v>1606</v>
      </c>
      <c r="D33">
        <v>4</v>
      </c>
      <c r="E33" t="s">
        <v>28</v>
      </c>
      <c r="F33" t="s">
        <v>56</v>
      </c>
      <c r="G33" t="s">
        <v>57</v>
      </c>
      <c r="H33" s="1">
        <v>45274</v>
      </c>
      <c r="I33" t="s">
        <v>86</v>
      </c>
      <c r="J33" t="s">
        <v>18</v>
      </c>
      <c r="K33" t="s">
        <v>32</v>
      </c>
      <c r="L33" s="1">
        <v>45261</v>
      </c>
      <c r="M33">
        <v>0.26567411083540099</v>
      </c>
      <c r="N33">
        <v>3.1384856806590799E-4</v>
      </c>
    </row>
    <row r="34" spans="1:14" x14ac:dyDescent="0.25">
      <c r="A34" t="s">
        <v>85</v>
      </c>
      <c r="B34">
        <v>9337</v>
      </c>
      <c r="C34">
        <v>554</v>
      </c>
      <c r="D34">
        <v>11</v>
      </c>
      <c r="E34" t="s">
        <v>28</v>
      </c>
      <c r="F34" t="s">
        <v>29</v>
      </c>
      <c r="G34" t="s">
        <v>57</v>
      </c>
      <c r="H34" s="1">
        <v>45274</v>
      </c>
      <c r="I34" t="s">
        <v>86</v>
      </c>
      <c r="J34" t="s">
        <v>18</v>
      </c>
      <c r="K34" t="s">
        <v>32</v>
      </c>
      <c r="L34" s="1">
        <v>45261</v>
      </c>
      <c r="M34">
        <v>5.9333833136981901E-2</v>
      </c>
      <c r="N34">
        <v>8.6308356218124801E-4</v>
      </c>
    </row>
    <row r="35" spans="1:14" x14ac:dyDescent="0.25">
      <c r="A35" t="s">
        <v>87</v>
      </c>
      <c r="B35">
        <v>4051</v>
      </c>
      <c r="C35">
        <v>1848</v>
      </c>
      <c r="D35">
        <v>12</v>
      </c>
      <c r="E35" t="s">
        <v>14</v>
      </c>
      <c r="F35" t="s">
        <v>71</v>
      </c>
      <c r="G35" t="s">
        <v>42</v>
      </c>
      <c r="H35" s="1">
        <v>45110</v>
      </c>
      <c r="I35" t="s">
        <v>88</v>
      </c>
      <c r="J35" t="s">
        <v>38</v>
      </c>
      <c r="K35" t="s">
        <v>66</v>
      </c>
      <c r="L35" s="1">
        <v>45108</v>
      </c>
      <c r="M35">
        <v>0.45618365835596197</v>
      </c>
      <c r="N35">
        <v>9.4154570419772402E-4</v>
      </c>
    </row>
    <row r="36" spans="1:14" x14ac:dyDescent="0.25">
      <c r="A36" t="s">
        <v>87</v>
      </c>
      <c r="B36">
        <v>4051</v>
      </c>
      <c r="C36">
        <v>1848</v>
      </c>
      <c r="D36">
        <v>12</v>
      </c>
      <c r="E36" t="s">
        <v>14</v>
      </c>
      <c r="F36" t="s">
        <v>71</v>
      </c>
      <c r="G36" t="s">
        <v>42</v>
      </c>
      <c r="H36" s="1">
        <v>44324</v>
      </c>
      <c r="I36" t="s">
        <v>89</v>
      </c>
      <c r="J36" t="s">
        <v>83</v>
      </c>
      <c r="K36" t="s">
        <v>90</v>
      </c>
      <c r="L36" s="1">
        <v>44317</v>
      </c>
      <c r="M36">
        <v>0.45618365835596197</v>
      </c>
      <c r="N36">
        <v>9.4154570419772402E-4</v>
      </c>
    </row>
    <row r="37" spans="1:14" x14ac:dyDescent="0.25">
      <c r="A37" t="s">
        <v>87</v>
      </c>
      <c r="B37">
        <v>5011</v>
      </c>
      <c r="C37">
        <v>866</v>
      </c>
      <c r="D37">
        <v>11</v>
      </c>
      <c r="E37" t="s">
        <v>40</v>
      </c>
      <c r="F37" t="s">
        <v>91</v>
      </c>
      <c r="G37" t="s">
        <v>42</v>
      </c>
      <c r="H37" s="1">
        <v>45110</v>
      </c>
      <c r="I37" t="s">
        <v>88</v>
      </c>
      <c r="J37" t="s">
        <v>38</v>
      </c>
      <c r="K37" t="s">
        <v>66</v>
      </c>
      <c r="L37" s="1">
        <v>45108</v>
      </c>
      <c r="M37">
        <v>0.17281979644781501</v>
      </c>
      <c r="N37">
        <v>8.6308356218124801E-4</v>
      </c>
    </row>
    <row r="38" spans="1:14" x14ac:dyDescent="0.25">
      <c r="A38" t="s">
        <v>87</v>
      </c>
      <c r="B38">
        <v>5011</v>
      </c>
      <c r="C38">
        <v>866</v>
      </c>
      <c r="D38">
        <v>11</v>
      </c>
      <c r="E38" t="s">
        <v>40</v>
      </c>
      <c r="F38" t="s">
        <v>91</v>
      </c>
      <c r="G38" t="s">
        <v>42</v>
      </c>
      <c r="H38" s="1">
        <v>44324</v>
      </c>
      <c r="I38" t="s">
        <v>89</v>
      </c>
      <c r="J38" t="s">
        <v>83</v>
      </c>
      <c r="K38" t="s">
        <v>90</v>
      </c>
      <c r="L38" s="1">
        <v>44317</v>
      </c>
      <c r="M38">
        <v>0.17281979644781501</v>
      </c>
      <c r="N38">
        <v>8.6308356218124801E-4</v>
      </c>
    </row>
    <row r="39" spans="1:14" x14ac:dyDescent="0.25">
      <c r="A39" t="s">
        <v>92</v>
      </c>
      <c r="B39">
        <v>3958</v>
      </c>
      <c r="C39">
        <v>630</v>
      </c>
      <c r="D39">
        <v>15</v>
      </c>
      <c r="E39" t="s">
        <v>40</v>
      </c>
      <c r="F39" t="s">
        <v>52</v>
      </c>
      <c r="G39" t="s">
        <v>36</v>
      </c>
      <c r="H39" s="1">
        <v>44841</v>
      </c>
      <c r="I39" t="s">
        <v>93</v>
      </c>
      <c r="J39" t="s">
        <v>18</v>
      </c>
      <c r="K39" t="s">
        <v>32</v>
      </c>
      <c r="L39" s="1">
        <v>44835</v>
      </c>
      <c r="M39">
        <v>0.159171298635675</v>
      </c>
      <c r="N39">
        <v>1.17693213024716E-3</v>
      </c>
    </row>
    <row r="40" spans="1:14" x14ac:dyDescent="0.25">
      <c r="A40" t="s">
        <v>92</v>
      </c>
      <c r="B40">
        <v>3132</v>
      </c>
      <c r="C40">
        <v>963</v>
      </c>
      <c r="D40">
        <v>1</v>
      </c>
      <c r="E40" t="s">
        <v>40</v>
      </c>
      <c r="F40" t="s">
        <v>41</v>
      </c>
      <c r="G40" t="s">
        <v>30</v>
      </c>
      <c r="H40" s="1">
        <v>44841</v>
      </c>
      <c r="I40" t="s">
        <v>93</v>
      </c>
      <c r="J40" t="s">
        <v>18</v>
      </c>
      <c r="K40" t="s">
        <v>32</v>
      </c>
      <c r="L40" s="1">
        <v>44835</v>
      </c>
      <c r="M40">
        <v>0.30747126436781602</v>
      </c>
      <c r="N40">
        <v>7.8462142016476997E-5</v>
      </c>
    </row>
    <row r="41" spans="1:14" x14ac:dyDescent="0.25">
      <c r="A41" t="s">
        <v>94</v>
      </c>
      <c r="B41">
        <v>7784</v>
      </c>
      <c r="C41">
        <v>2937</v>
      </c>
      <c r="D41">
        <v>12</v>
      </c>
      <c r="E41" t="s">
        <v>28</v>
      </c>
      <c r="F41" t="s">
        <v>50</v>
      </c>
      <c r="G41" t="s">
        <v>16</v>
      </c>
      <c r="H41" s="1">
        <v>45510</v>
      </c>
      <c r="I41" t="s">
        <v>95</v>
      </c>
      <c r="J41" t="s">
        <v>38</v>
      </c>
      <c r="K41" t="s">
        <v>79</v>
      </c>
      <c r="L41" s="1">
        <v>45505</v>
      </c>
      <c r="M41">
        <v>0.37731243576567303</v>
      </c>
      <c r="N41">
        <v>9.4154570419772402E-4</v>
      </c>
    </row>
    <row r="42" spans="1:14" x14ac:dyDescent="0.25">
      <c r="A42" t="s">
        <v>94</v>
      </c>
      <c r="B42">
        <v>5591</v>
      </c>
      <c r="C42">
        <v>1696</v>
      </c>
      <c r="D42">
        <v>3</v>
      </c>
      <c r="E42" t="s">
        <v>28</v>
      </c>
      <c r="F42" t="s">
        <v>29</v>
      </c>
      <c r="G42" t="s">
        <v>57</v>
      </c>
      <c r="H42" s="1">
        <v>45510</v>
      </c>
      <c r="I42" t="s">
        <v>95</v>
      </c>
      <c r="J42" t="s">
        <v>38</v>
      </c>
      <c r="K42" t="s">
        <v>79</v>
      </c>
      <c r="L42" s="1">
        <v>45505</v>
      </c>
      <c r="M42">
        <v>0.30334466106242203</v>
      </c>
      <c r="N42">
        <v>2.35386426049431E-4</v>
      </c>
    </row>
    <row r="43" spans="1:14" x14ac:dyDescent="0.25">
      <c r="A43" t="s">
        <v>94</v>
      </c>
      <c r="B43">
        <v>5122</v>
      </c>
      <c r="C43">
        <v>2413</v>
      </c>
      <c r="D43">
        <v>12</v>
      </c>
      <c r="E43" t="s">
        <v>14</v>
      </c>
      <c r="F43" t="s">
        <v>15</v>
      </c>
      <c r="G43" t="s">
        <v>57</v>
      </c>
      <c r="H43" s="1">
        <v>45510</v>
      </c>
      <c r="I43" t="s">
        <v>95</v>
      </c>
      <c r="J43" t="s">
        <v>38</v>
      </c>
      <c r="K43" t="s">
        <v>79</v>
      </c>
      <c r="L43" s="1">
        <v>45505</v>
      </c>
      <c r="M43">
        <v>0.47110503709488499</v>
      </c>
      <c r="N43">
        <v>9.4154570419772402E-4</v>
      </c>
    </row>
    <row r="44" spans="1:14" x14ac:dyDescent="0.25">
      <c r="A44" t="s">
        <v>96</v>
      </c>
      <c r="B44">
        <v>8293</v>
      </c>
      <c r="C44">
        <v>2632</v>
      </c>
      <c r="D44">
        <v>8</v>
      </c>
      <c r="E44" t="s">
        <v>28</v>
      </c>
      <c r="F44" t="s">
        <v>68</v>
      </c>
      <c r="G44" t="s">
        <v>57</v>
      </c>
      <c r="H44" s="1">
        <v>44566</v>
      </c>
      <c r="I44" t="s">
        <v>97</v>
      </c>
      <c r="J44" t="s">
        <v>83</v>
      </c>
      <c r="K44" t="s">
        <v>98</v>
      </c>
      <c r="L44" s="1">
        <v>44562</v>
      </c>
      <c r="M44">
        <v>0.317376100325576</v>
      </c>
      <c r="N44">
        <v>6.2769713613181597E-4</v>
      </c>
    </row>
    <row r="45" spans="1:14" x14ac:dyDescent="0.25">
      <c r="A45" t="s">
        <v>96</v>
      </c>
      <c r="B45">
        <v>8293</v>
      </c>
      <c r="C45">
        <v>2632</v>
      </c>
      <c r="D45">
        <v>8</v>
      </c>
      <c r="E45" t="s">
        <v>28</v>
      </c>
      <c r="F45" t="s">
        <v>68</v>
      </c>
      <c r="G45" t="s">
        <v>57</v>
      </c>
      <c r="H45" s="1">
        <v>44121</v>
      </c>
      <c r="I45" t="s">
        <v>99</v>
      </c>
      <c r="J45" t="s">
        <v>24</v>
      </c>
      <c r="K45" t="s">
        <v>60</v>
      </c>
      <c r="L45" s="1">
        <v>44105</v>
      </c>
      <c r="M45">
        <v>0.317376100325576</v>
      </c>
      <c r="N45">
        <v>6.2769713613181597E-4</v>
      </c>
    </row>
    <row r="46" spans="1:14" x14ac:dyDescent="0.25">
      <c r="A46" t="s">
        <v>96</v>
      </c>
      <c r="B46">
        <v>8293</v>
      </c>
      <c r="C46">
        <v>2632</v>
      </c>
      <c r="D46">
        <v>8</v>
      </c>
      <c r="E46" t="s">
        <v>28</v>
      </c>
      <c r="F46" t="s">
        <v>68</v>
      </c>
      <c r="G46" t="s">
        <v>57</v>
      </c>
      <c r="H46" s="1">
        <v>45159</v>
      </c>
      <c r="I46" t="s">
        <v>100</v>
      </c>
      <c r="J46" t="s">
        <v>38</v>
      </c>
      <c r="K46" t="s">
        <v>39</v>
      </c>
      <c r="L46" s="1">
        <v>45139</v>
      </c>
      <c r="M46">
        <v>0.317376100325576</v>
      </c>
      <c r="N46">
        <v>6.2769713613181597E-4</v>
      </c>
    </row>
    <row r="47" spans="1:14" x14ac:dyDescent="0.25">
      <c r="A47" t="s">
        <v>96</v>
      </c>
      <c r="B47">
        <v>2863</v>
      </c>
      <c r="C47">
        <v>205</v>
      </c>
      <c r="D47">
        <v>17</v>
      </c>
      <c r="E47" t="s">
        <v>14</v>
      </c>
      <c r="F47" t="s">
        <v>71</v>
      </c>
      <c r="G47" t="s">
        <v>16</v>
      </c>
      <c r="H47" s="1">
        <v>44566</v>
      </c>
      <c r="I47" t="s">
        <v>97</v>
      </c>
      <c r="J47" t="s">
        <v>83</v>
      </c>
      <c r="K47" t="s">
        <v>98</v>
      </c>
      <c r="L47" s="1">
        <v>44562</v>
      </c>
      <c r="M47">
        <v>7.1603213412504405E-2</v>
      </c>
      <c r="N47">
        <v>1.33385641428011E-3</v>
      </c>
    </row>
    <row r="48" spans="1:14" x14ac:dyDescent="0.25">
      <c r="A48" t="s">
        <v>96</v>
      </c>
      <c r="B48">
        <v>2863</v>
      </c>
      <c r="C48">
        <v>205</v>
      </c>
      <c r="D48">
        <v>17</v>
      </c>
      <c r="E48" t="s">
        <v>14</v>
      </c>
      <c r="F48" t="s">
        <v>71</v>
      </c>
      <c r="G48" t="s">
        <v>16</v>
      </c>
      <c r="H48" s="1">
        <v>44121</v>
      </c>
      <c r="I48" t="s">
        <v>99</v>
      </c>
      <c r="J48" t="s">
        <v>24</v>
      </c>
      <c r="K48" t="s">
        <v>60</v>
      </c>
      <c r="L48" s="1">
        <v>44105</v>
      </c>
      <c r="M48">
        <v>7.1603213412504405E-2</v>
      </c>
      <c r="N48">
        <v>1.33385641428011E-3</v>
      </c>
    </row>
    <row r="49" spans="1:14" x14ac:dyDescent="0.25">
      <c r="A49" t="s">
        <v>96</v>
      </c>
      <c r="B49">
        <v>2863</v>
      </c>
      <c r="C49">
        <v>205</v>
      </c>
      <c r="D49">
        <v>17</v>
      </c>
      <c r="E49" t="s">
        <v>14</v>
      </c>
      <c r="F49" t="s">
        <v>71</v>
      </c>
      <c r="G49" t="s">
        <v>16</v>
      </c>
      <c r="H49" s="1">
        <v>45159</v>
      </c>
      <c r="I49" t="s">
        <v>100</v>
      </c>
      <c r="J49" t="s">
        <v>38</v>
      </c>
      <c r="K49" t="s">
        <v>39</v>
      </c>
      <c r="L49" s="1">
        <v>45139</v>
      </c>
      <c r="M49">
        <v>7.1603213412504405E-2</v>
      </c>
      <c r="N49">
        <v>1.33385641428011E-3</v>
      </c>
    </row>
    <row r="50" spans="1:14" x14ac:dyDescent="0.25">
      <c r="A50" t="s">
        <v>101</v>
      </c>
      <c r="B50">
        <v>3090</v>
      </c>
      <c r="C50">
        <v>573</v>
      </c>
      <c r="D50">
        <v>6</v>
      </c>
      <c r="E50" t="s">
        <v>40</v>
      </c>
      <c r="F50" t="s">
        <v>41</v>
      </c>
      <c r="G50" t="s">
        <v>36</v>
      </c>
      <c r="H50" s="1">
        <v>45653</v>
      </c>
      <c r="I50" t="s">
        <v>102</v>
      </c>
      <c r="J50" t="s">
        <v>38</v>
      </c>
      <c r="K50" t="s">
        <v>66</v>
      </c>
      <c r="L50" s="1">
        <v>45627</v>
      </c>
      <c r="M50">
        <v>0.18543689320388401</v>
      </c>
      <c r="N50">
        <v>4.7077285209886201E-4</v>
      </c>
    </row>
    <row r="51" spans="1:14" x14ac:dyDescent="0.25">
      <c r="A51" t="s">
        <v>101</v>
      </c>
      <c r="B51">
        <v>3090</v>
      </c>
      <c r="C51">
        <v>573</v>
      </c>
      <c r="D51">
        <v>6</v>
      </c>
      <c r="E51" t="s">
        <v>40</v>
      </c>
      <c r="F51" t="s">
        <v>41</v>
      </c>
      <c r="G51" t="s">
        <v>36</v>
      </c>
      <c r="H51" s="1">
        <v>44365</v>
      </c>
      <c r="I51" t="s">
        <v>103</v>
      </c>
      <c r="J51" t="s">
        <v>83</v>
      </c>
      <c r="K51" t="s">
        <v>90</v>
      </c>
      <c r="L51" s="1">
        <v>44348</v>
      </c>
      <c r="M51">
        <v>0.18543689320388401</v>
      </c>
      <c r="N51">
        <v>4.7077285209886201E-4</v>
      </c>
    </row>
    <row r="52" spans="1:14" x14ac:dyDescent="0.25">
      <c r="A52" t="s">
        <v>101</v>
      </c>
      <c r="B52">
        <v>3090</v>
      </c>
      <c r="C52">
        <v>573</v>
      </c>
      <c r="D52">
        <v>6</v>
      </c>
      <c r="E52" t="s">
        <v>40</v>
      </c>
      <c r="F52" t="s">
        <v>41</v>
      </c>
      <c r="G52" t="s">
        <v>36</v>
      </c>
      <c r="H52" s="1">
        <v>45073</v>
      </c>
      <c r="I52" t="s">
        <v>104</v>
      </c>
      <c r="J52" t="s">
        <v>63</v>
      </c>
      <c r="K52" t="s">
        <v>75</v>
      </c>
      <c r="L52" s="1">
        <v>45047</v>
      </c>
      <c r="M52">
        <v>0.18543689320388401</v>
      </c>
      <c r="N52">
        <v>4.7077285209886201E-4</v>
      </c>
    </row>
    <row r="53" spans="1:14" x14ac:dyDescent="0.25">
      <c r="A53" t="s">
        <v>101</v>
      </c>
      <c r="B53">
        <v>3090</v>
      </c>
      <c r="C53">
        <v>573</v>
      </c>
      <c r="D53">
        <v>6</v>
      </c>
      <c r="E53" t="s">
        <v>40</v>
      </c>
      <c r="F53" t="s">
        <v>41</v>
      </c>
      <c r="G53" t="s">
        <v>36</v>
      </c>
      <c r="H53" s="1">
        <v>44481</v>
      </c>
      <c r="I53" t="s">
        <v>105</v>
      </c>
      <c r="J53" t="s">
        <v>63</v>
      </c>
      <c r="K53" t="s">
        <v>64</v>
      </c>
      <c r="L53" s="1">
        <v>44470</v>
      </c>
      <c r="M53">
        <v>0.18543689320388401</v>
      </c>
      <c r="N53">
        <v>4.7077285209886201E-4</v>
      </c>
    </row>
    <row r="54" spans="1:14" x14ac:dyDescent="0.25">
      <c r="A54" t="s">
        <v>101</v>
      </c>
      <c r="B54">
        <v>9683</v>
      </c>
      <c r="C54">
        <v>1014</v>
      </c>
      <c r="D54">
        <v>5</v>
      </c>
      <c r="E54" t="s">
        <v>14</v>
      </c>
      <c r="F54" t="s">
        <v>26</v>
      </c>
      <c r="G54" t="s">
        <v>16</v>
      </c>
      <c r="H54" s="1">
        <v>45653</v>
      </c>
      <c r="I54" t="s">
        <v>102</v>
      </c>
      <c r="J54" t="s">
        <v>38</v>
      </c>
      <c r="K54" t="s">
        <v>66</v>
      </c>
      <c r="L54" s="1">
        <v>45627</v>
      </c>
      <c r="M54">
        <v>0.104719611690592</v>
      </c>
      <c r="N54">
        <v>3.9231071008238503E-4</v>
      </c>
    </row>
    <row r="55" spans="1:14" x14ac:dyDescent="0.25">
      <c r="A55" t="s">
        <v>101</v>
      </c>
      <c r="B55">
        <v>9683</v>
      </c>
      <c r="C55">
        <v>1014</v>
      </c>
      <c r="D55">
        <v>5</v>
      </c>
      <c r="E55" t="s">
        <v>14</v>
      </c>
      <c r="F55" t="s">
        <v>26</v>
      </c>
      <c r="G55" t="s">
        <v>16</v>
      </c>
      <c r="H55" s="1">
        <v>44365</v>
      </c>
      <c r="I55" t="s">
        <v>103</v>
      </c>
      <c r="J55" t="s">
        <v>83</v>
      </c>
      <c r="K55" t="s">
        <v>90</v>
      </c>
      <c r="L55" s="1">
        <v>44348</v>
      </c>
      <c r="M55">
        <v>0.104719611690592</v>
      </c>
      <c r="N55">
        <v>3.9231071008238503E-4</v>
      </c>
    </row>
    <row r="56" spans="1:14" x14ac:dyDescent="0.25">
      <c r="A56" t="s">
        <v>101</v>
      </c>
      <c r="B56">
        <v>9683</v>
      </c>
      <c r="C56">
        <v>1014</v>
      </c>
      <c r="D56">
        <v>5</v>
      </c>
      <c r="E56" t="s">
        <v>14</v>
      </c>
      <c r="F56" t="s">
        <v>26</v>
      </c>
      <c r="G56" t="s">
        <v>16</v>
      </c>
      <c r="H56" s="1">
        <v>45073</v>
      </c>
      <c r="I56" t="s">
        <v>104</v>
      </c>
      <c r="J56" t="s">
        <v>63</v>
      </c>
      <c r="K56" t="s">
        <v>75</v>
      </c>
      <c r="L56" s="1">
        <v>45047</v>
      </c>
      <c r="M56">
        <v>0.104719611690592</v>
      </c>
      <c r="N56">
        <v>3.9231071008238503E-4</v>
      </c>
    </row>
    <row r="57" spans="1:14" x14ac:dyDescent="0.25">
      <c r="A57" t="s">
        <v>101</v>
      </c>
      <c r="B57">
        <v>9683</v>
      </c>
      <c r="C57">
        <v>1014</v>
      </c>
      <c r="D57">
        <v>5</v>
      </c>
      <c r="E57" t="s">
        <v>14</v>
      </c>
      <c r="F57" t="s">
        <v>26</v>
      </c>
      <c r="G57" t="s">
        <v>16</v>
      </c>
      <c r="H57" s="1">
        <v>44481</v>
      </c>
      <c r="I57" t="s">
        <v>105</v>
      </c>
      <c r="J57" t="s">
        <v>63</v>
      </c>
      <c r="K57" t="s">
        <v>64</v>
      </c>
      <c r="L57" s="1">
        <v>44470</v>
      </c>
      <c r="M57">
        <v>0.104719611690592</v>
      </c>
      <c r="N57">
        <v>3.9231071008238503E-4</v>
      </c>
    </row>
    <row r="58" spans="1:14" x14ac:dyDescent="0.25">
      <c r="A58" t="s">
        <v>106</v>
      </c>
      <c r="B58">
        <v>2463</v>
      </c>
      <c r="C58">
        <v>648</v>
      </c>
      <c r="D58">
        <v>18</v>
      </c>
      <c r="E58" t="s">
        <v>40</v>
      </c>
      <c r="F58" t="s">
        <v>41</v>
      </c>
      <c r="G58" t="s">
        <v>36</v>
      </c>
      <c r="H58" s="1">
        <v>44823</v>
      </c>
      <c r="I58" t="s">
        <v>107</v>
      </c>
      <c r="J58" t="s">
        <v>83</v>
      </c>
      <c r="K58" t="s">
        <v>90</v>
      </c>
      <c r="L58" s="1">
        <v>44805</v>
      </c>
      <c r="M58">
        <v>0.263093788063337</v>
      </c>
      <c r="N58">
        <v>1.41231855629659E-3</v>
      </c>
    </row>
    <row r="59" spans="1:14" x14ac:dyDescent="0.25">
      <c r="A59" t="s">
        <v>108</v>
      </c>
      <c r="B59">
        <v>7811</v>
      </c>
      <c r="C59">
        <v>1538</v>
      </c>
      <c r="D59">
        <v>12</v>
      </c>
      <c r="E59" t="s">
        <v>40</v>
      </c>
      <c r="F59" t="s">
        <v>52</v>
      </c>
      <c r="G59" t="s">
        <v>57</v>
      </c>
      <c r="H59" s="1">
        <v>44645</v>
      </c>
      <c r="I59" t="s">
        <v>109</v>
      </c>
      <c r="J59" t="s">
        <v>18</v>
      </c>
      <c r="K59" t="s">
        <v>19</v>
      </c>
      <c r="L59" s="1">
        <v>44621</v>
      </c>
      <c r="M59">
        <v>0.196901805146588</v>
      </c>
      <c r="N59">
        <v>9.4154570419772402E-4</v>
      </c>
    </row>
    <row r="60" spans="1:14" x14ac:dyDescent="0.25">
      <c r="A60" t="s">
        <v>110</v>
      </c>
      <c r="B60">
        <v>6139</v>
      </c>
      <c r="C60">
        <v>451</v>
      </c>
      <c r="D60">
        <v>10</v>
      </c>
      <c r="E60" t="s">
        <v>40</v>
      </c>
      <c r="F60" t="s">
        <v>41</v>
      </c>
      <c r="G60" t="s">
        <v>30</v>
      </c>
      <c r="H60" s="1">
        <v>44618</v>
      </c>
      <c r="I60" t="s">
        <v>111</v>
      </c>
      <c r="J60" t="s">
        <v>18</v>
      </c>
      <c r="K60" t="s">
        <v>32</v>
      </c>
      <c r="L60" s="1">
        <v>44593</v>
      </c>
      <c r="M60">
        <v>7.3464733669978799E-2</v>
      </c>
      <c r="N60">
        <v>7.8462142016477005E-4</v>
      </c>
    </row>
    <row r="61" spans="1:14" x14ac:dyDescent="0.25">
      <c r="A61" t="s">
        <v>110</v>
      </c>
      <c r="B61">
        <v>6139</v>
      </c>
      <c r="C61">
        <v>451</v>
      </c>
      <c r="D61">
        <v>10</v>
      </c>
      <c r="E61" t="s">
        <v>40</v>
      </c>
      <c r="F61" t="s">
        <v>41</v>
      </c>
      <c r="G61" t="s">
        <v>30</v>
      </c>
      <c r="H61" s="1">
        <v>44291</v>
      </c>
      <c r="I61" t="s">
        <v>78</v>
      </c>
      <c r="J61" t="s">
        <v>63</v>
      </c>
      <c r="K61" t="s">
        <v>112</v>
      </c>
      <c r="L61" s="1">
        <v>44287</v>
      </c>
      <c r="M61">
        <v>7.3464733669978799E-2</v>
      </c>
      <c r="N61">
        <v>7.8462142016477005E-4</v>
      </c>
    </row>
    <row r="62" spans="1:14" x14ac:dyDescent="0.25">
      <c r="A62" t="s">
        <v>110</v>
      </c>
      <c r="B62">
        <v>8636</v>
      </c>
      <c r="C62">
        <v>3192</v>
      </c>
      <c r="D62">
        <v>3</v>
      </c>
      <c r="E62" t="s">
        <v>40</v>
      </c>
      <c r="F62" t="s">
        <v>44</v>
      </c>
      <c r="G62" t="s">
        <v>57</v>
      </c>
      <c r="H62" s="1">
        <v>44618</v>
      </c>
      <c r="I62" t="s">
        <v>111</v>
      </c>
      <c r="J62" t="s">
        <v>18</v>
      </c>
      <c r="K62" t="s">
        <v>32</v>
      </c>
      <c r="L62" s="1">
        <v>44593</v>
      </c>
      <c r="M62">
        <v>0.36961556276053698</v>
      </c>
      <c r="N62">
        <v>2.35386426049431E-4</v>
      </c>
    </row>
    <row r="63" spans="1:14" x14ac:dyDescent="0.25">
      <c r="A63" t="s">
        <v>110</v>
      </c>
      <c r="B63">
        <v>8636</v>
      </c>
      <c r="C63">
        <v>3192</v>
      </c>
      <c r="D63">
        <v>3</v>
      </c>
      <c r="E63" t="s">
        <v>40</v>
      </c>
      <c r="F63" t="s">
        <v>44</v>
      </c>
      <c r="G63" t="s">
        <v>57</v>
      </c>
      <c r="H63" s="1">
        <v>44291</v>
      </c>
      <c r="I63" t="s">
        <v>78</v>
      </c>
      <c r="J63" t="s">
        <v>63</v>
      </c>
      <c r="K63" t="s">
        <v>112</v>
      </c>
      <c r="L63" s="1">
        <v>44287</v>
      </c>
      <c r="M63">
        <v>0.36961556276053698</v>
      </c>
      <c r="N63">
        <v>2.35386426049431E-4</v>
      </c>
    </row>
    <row r="64" spans="1:14" x14ac:dyDescent="0.25">
      <c r="A64" t="s">
        <v>110</v>
      </c>
      <c r="B64">
        <v>4439</v>
      </c>
      <c r="C64">
        <v>1712</v>
      </c>
      <c r="D64">
        <v>19</v>
      </c>
      <c r="E64" t="s">
        <v>40</v>
      </c>
      <c r="F64" t="s">
        <v>52</v>
      </c>
      <c r="G64" t="s">
        <v>42</v>
      </c>
      <c r="H64" s="1">
        <v>44618</v>
      </c>
      <c r="I64" t="s">
        <v>111</v>
      </c>
      <c r="J64" t="s">
        <v>18</v>
      </c>
      <c r="K64" t="s">
        <v>32</v>
      </c>
      <c r="L64" s="1">
        <v>44593</v>
      </c>
      <c r="M64">
        <v>0.38567244874971801</v>
      </c>
      <c r="N64">
        <v>1.4907806983130601E-3</v>
      </c>
    </row>
    <row r="65" spans="1:14" x14ac:dyDescent="0.25">
      <c r="A65" t="s">
        <v>110</v>
      </c>
      <c r="B65">
        <v>4439</v>
      </c>
      <c r="C65">
        <v>1712</v>
      </c>
      <c r="D65">
        <v>19</v>
      </c>
      <c r="E65" t="s">
        <v>40</v>
      </c>
      <c r="F65" t="s">
        <v>52</v>
      </c>
      <c r="G65" t="s">
        <v>42</v>
      </c>
      <c r="H65" s="1">
        <v>44291</v>
      </c>
      <c r="I65" t="s">
        <v>78</v>
      </c>
      <c r="J65" t="s">
        <v>63</v>
      </c>
      <c r="K65" t="s">
        <v>112</v>
      </c>
      <c r="L65" s="1">
        <v>44287</v>
      </c>
      <c r="M65">
        <v>0.38567244874971801</v>
      </c>
      <c r="N65">
        <v>1.4907806983130601E-3</v>
      </c>
    </row>
    <row r="66" spans="1:14" x14ac:dyDescent="0.25">
      <c r="A66" t="s">
        <v>113</v>
      </c>
      <c r="B66">
        <v>1016</v>
      </c>
      <c r="C66">
        <v>172</v>
      </c>
      <c r="D66">
        <v>20</v>
      </c>
      <c r="E66" t="s">
        <v>40</v>
      </c>
      <c r="F66" t="s">
        <v>41</v>
      </c>
      <c r="G66" t="s">
        <v>30</v>
      </c>
      <c r="H66" s="1">
        <v>44151</v>
      </c>
      <c r="I66" t="s">
        <v>114</v>
      </c>
      <c r="J66" t="s">
        <v>24</v>
      </c>
      <c r="K66" t="s">
        <v>25</v>
      </c>
      <c r="L66" s="1">
        <v>44136</v>
      </c>
      <c r="M66">
        <v>0.169291338582677</v>
      </c>
      <c r="N66">
        <v>1.5692428403295401E-3</v>
      </c>
    </row>
    <row r="67" spans="1:14" x14ac:dyDescent="0.25">
      <c r="A67" t="s">
        <v>113</v>
      </c>
      <c r="B67">
        <v>5768</v>
      </c>
      <c r="C67">
        <v>2059</v>
      </c>
      <c r="D67">
        <v>14</v>
      </c>
      <c r="E67" t="s">
        <v>40</v>
      </c>
      <c r="F67" t="s">
        <v>41</v>
      </c>
      <c r="G67" t="s">
        <v>16</v>
      </c>
      <c r="H67" s="1">
        <v>44151</v>
      </c>
      <c r="I67" t="s">
        <v>114</v>
      </c>
      <c r="J67" t="s">
        <v>24</v>
      </c>
      <c r="K67" t="s">
        <v>25</v>
      </c>
      <c r="L67" s="1">
        <v>44136</v>
      </c>
      <c r="M67">
        <v>0.35696948682385599</v>
      </c>
      <c r="N67">
        <v>1.0984699882306799E-3</v>
      </c>
    </row>
    <row r="68" spans="1:14" x14ac:dyDescent="0.25">
      <c r="A68" t="s">
        <v>113</v>
      </c>
      <c r="B68">
        <v>1217</v>
      </c>
      <c r="C68">
        <v>151</v>
      </c>
      <c r="D68">
        <v>3</v>
      </c>
      <c r="E68" t="s">
        <v>40</v>
      </c>
      <c r="F68" t="s">
        <v>41</v>
      </c>
      <c r="G68" t="s">
        <v>42</v>
      </c>
      <c r="H68" s="1">
        <v>44151</v>
      </c>
      <c r="I68" t="s">
        <v>114</v>
      </c>
      <c r="J68" t="s">
        <v>24</v>
      </c>
      <c r="K68" t="s">
        <v>25</v>
      </c>
      <c r="L68" s="1">
        <v>44136</v>
      </c>
      <c r="M68">
        <v>0.12407559572719799</v>
      </c>
      <c r="N68">
        <v>2.35386426049431E-4</v>
      </c>
    </row>
    <row r="69" spans="1:14" x14ac:dyDescent="0.25">
      <c r="A69" t="s">
        <v>115</v>
      </c>
      <c r="B69">
        <v>953</v>
      </c>
      <c r="C69">
        <v>93</v>
      </c>
      <c r="D69">
        <v>2</v>
      </c>
      <c r="E69" t="s">
        <v>28</v>
      </c>
      <c r="F69" t="s">
        <v>56</v>
      </c>
      <c r="G69" t="s">
        <v>30</v>
      </c>
      <c r="H69" s="1">
        <v>45638</v>
      </c>
      <c r="I69" t="s">
        <v>116</v>
      </c>
      <c r="J69" t="s">
        <v>83</v>
      </c>
      <c r="K69" t="s">
        <v>98</v>
      </c>
      <c r="L69" s="1">
        <v>45627</v>
      </c>
      <c r="M69">
        <v>9.7586568730325299E-2</v>
      </c>
      <c r="N69">
        <v>1.5692428403295399E-4</v>
      </c>
    </row>
    <row r="70" spans="1:14" x14ac:dyDescent="0.25">
      <c r="A70" t="s">
        <v>115</v>
      </c>
      <c r="B70">
        <v>953</v>
      </c>
      <c r="C70">
        <v>93</v>
      </c>
      <c r="D70">
        <v>2</v>
      </c>
      <c r="E70" t="s">
        <v>28</v>
      </c>
      <c r="F70" t="s">
        <v>56</v>
      </c>
      <c r="G70" t="s">
        <v>30</v>
      </c>
      <c r="H70" s="1">
        <v>45022</v>
      </c>
      <c r="I70" t="s">
        <v>117</v>
      </c>
      <c r="J70" t="s">
        <v>38</v>
      </c>
      <c r="K70" t="s">
        <v>39</v>
      </c>
      <c r="L70" s="1">
        <v>45017</v>
      </c>
      <c r="M70">
        <v>9.7586568730325299E-2</v>
      </c>
      <c r="N70">
        <v>1.5692428403295399E-4</v>
      </c>
    </row>
    <row r="71" spans="1:14" x14ac:dyDescent="0.25">
      <c r="A71" t="s">
        <v>115</v>
      </c>
      <c r="B71">
        <v>7355</v>
      </c>
      <c r="C71">
        <v>1034</v>
      </c>
      <c r="D71">
        <v>3</v>
      </c>
      <c r="E71" t="s">
        <v>40</v>
      </c>
      <c r="F71" t="s">
        <v>52</v>
      </c>
      <c r="G71" t="s">
        <v>57</v>
      </c>
      <c r="H71" s="1">
        <v>45638</v>
      </c>
      <c r="I71" t="s">
        <v>116</v>
      </c>
      <c r="J71" t="s">
        <v>83</v>
      </c>
      <c r="K71" t="s">
        <v>98</v>
      </c>
      <c r="L71" s="1">
        <v>45627</v>
      </c>
      <c r="M71">
        <v>0.14058463630183499</v>
      </c>
      <c r="N71">
        <v>2.35386426049431E-4</v>
      </c>
    </row>
    <row r="72" spans="1:14" x14ac:dyDescent="0.25">
      <c r="A72" t="s">
        <v>115</v>
      </c>
      <c r="B72">
        <v>7355</v>
      </c>
      <c r="C72">
        <v>1034</v>
      </c>
      <c r="D72">
        <v>3</v>
      </c>
      <c r="E72" t="s">
        <v>40</v>
      </c>
      <c r="F72" t="s">
        <v>52</v>
      </c>
      <c r="G72" t="s">
        <v>57</v>
      </c>
      <c r="H72" s="1">
        <v>45022</v>
      </c>
      <c r="I72" t="s">
        <v>117</v>
      </c>
      <c r="J72" t="s">
        <v>38</v>
      </c>
      <c r="K72" t="s">
        <v>39</v>
      </c>
      <c r="L72" s="1">
        <v>45017</v>
      </c>
      <c r="M72">
        <v>0.14058463630183499</v>
      </c>
      <c r="N72">
        <v>2.35386426049431E-4</v>
      </c>
    </row>
    <row r="73" spans="1:14" x14ac:dyDescent="0.25">
      <c r="A73" t="s">
        <v>115</v>
      </c>
      <c r="B73">
        <v>1843</v>
      </c>
      <c r="C73">
        <v>248</v>
      </c>
      <c r="D73">
        <v>3</v>
      </c>
      <c r="E73" t="s">
        <v>14</v>
      </c>
      <c r="F73" t="s">
        <v>71</v>
      </c>
      <c r="G73" t="s">
        <v>42</v>
      </c>
      <c r="H73" s="1">
        <v>45638</v>
      </c>
      <c r="I73" t="s">
        <v>116</v>
      </c>
      <c r="J73" t="s">
        <v>83</v>
      </c>
      <c r="K73" t="s">
        <v>98</v>
      </c>
      <c r="L73" s="1">
        <v>45627</v>
      </c>
      <c r="M73">
        <v>0.134563212154097</v>
      </c>
      <c r="N73">
        <v>2.35386426049431E-4</v>
      </c>
    </row>
    <row r="74" spans="1:14" x14ac:dyDescent="0.25">
      <c r="A74" t="s">
        <v>115</v>
      </c>
      <c r="B74">
        <v>1843</v>
      </c>
      <c r="C74">
        <v>248</v>
      </c>
      <c r="D74">
        <v>3</v>
      </c>
      <c r="E74" t="s">
        <v>14</v>
      </c>
      <c r="F74" t="s">
        <v>71</v>
      </c>
      <c r="G74" t="s">
        <v>42</v>
      </c>
      <c r="H74" s="1">
        <v>45022</v>
      </c>
      <c r="I74" t="s">
        <v>117</v>
      </c>
      <c r="J74" t="s">
        <v>38</v>
      </c>
      <c r="K74" t="s">
        <v>39</v>
      </c>
      <c r="L74" s="1">
        <v>45017</v>
      </c>
      <c r="M74">
        <v>0.134563212154097</v>
      </c>
      <c r="N74">
        <v>2.35386426049431E-4</v>
      </c>
    </row>
    <row r="75" spans="1:14" x14ac:dyDescent="0.25">
      <c r="A75" t="s">
        <v>115</v>
      </c>
      <c r="B75">
        <v>1603</v>
      </c>
      <c r="C75">
        <v>361</v>
      </c>
      <c r="D75">
        <v>10</v>
      </c>
      <c r="E75" t="s">
        <v>28</v>
      </c>
      <c r="F75" t="s">
        <v>29</v>
      </c>
      <c r="G75" t="s">
        <v>30</v>
      </c>
      <c r="H75" s="1">
        <v>45638</v>
      </c>
      <c r="I75" t="s">
        <v>116</v>
      </c>
      <c r="J75" t="s">
        <v>83</v>
      </c>
      <c r="K75" t="s">
        <v>98</v>
      </c>
      <c r="L75" s="1">
        <v>45627</v>
      </c>
      <c r="M75">
        <v>0.2252027448534</v>
      </c>
      <c r="N75">
        <v>7.8462142016477005E-4</v>
      </c>
    </row>
    <row r="76" spans="1:14" x14ac:dyDescent="0.25">
      <c r="A76" t="s">
        <v>115</v>
      </c>
      <c r="B76">
        <v>1603</v>
      </c>
      <c r="C76">
        <v>361</v>
      </c>
      <c r="D76">
        <v>10</v>
      </c>
      <c r="E76" t="s">
        <v>28</v>
      </c>
      <c r="F76" t="s">
        <v>29</v>
      </c>
      <c r="G76" t="s">
        <v>30</v>
      </c>
      <c r="H76" s="1">
        <v>45022</v>
      </c>
      <c r="I76" t="s">
        <v>117</v>
      </c>
      <c r="J76" t="s">
        <v>38</v>
      </c>
      <c r="K76" t="s">
        <v>39</v>
      </c>
      <c r="L76" s="1">
        <v>45017</v>
      </c>
      <c r="M76">
        <v>0.2252027448534</v>
      </c>
      <c r="N76">
        <v>7.8462142016477005E-4</v>
      </c>
    </row>
    <row r="77" spans="1:14" x14ac:dyDescent="0.25">
      <c r="A77" t="s">
        <v>118</v>
      </c>
      <c r="B77">
        <v>2025</v>
      </c>
      <c r="C77">
        <v>528</v>
      </c>
      <c r="D77">
        <v>1</v>
      </c>
      <c r="E77" t="s">
        <v>28</v>
      </c>
      <c r="F77" t="s">
        <v>29</v>
      </c>
      <c r="G77" t="s">
        <v>42</v>
      </c>
      <c r="H77" s="1">
        <v>45319</v>
      </c>
      <c r="I77" t="s">
        <v>119</v>
      </c>
      <c r="J77" t="s">
        <v>18</v>
      </c>
      <c r="K77" t="s">
        <v>19</v>
      </c>
      <c r="L77" s="1">
        <v>45292</v>
      </c>
      <c r="M77">
        <v>0.26074074074074099</v>
      </c>
      <c r="N77">
        <v>7.8462142016476997E-5</v>
      </c>
    </row>
    <row r="78" spans="1:14" x14ac:dyDescent="0.25">
      <c r="A78" t="s">
        <v>118</v>
      </c>
      <c r="B78">
        <v>6800</v>
      </c>
      <c r="C78">
        <v>167</v>
      </c>
      <c r="D78">
        <v>16</v>
      </c>
      <c r="E78" t="s">
        <v>28</v>
      </c>
      <c r="F78" t="s">
        <v>68</v>
      </c>
      <c r="G78" t="s">
        <v>36</v>
      </c>
      <c r="H78" s="1">
        <v>45319</v>
      </c>
      <c r="I78" t="s">
        <v>119</v>
      </c>
      <c r="J78" t="s">
        <v>18</v>
      </c>
      <c r="K78" t="s">
        <v>19</v>
      </c>
      <c r="L78" s="1">
        <v>45292</v>
      </c>
      <c r="M78">
        <v>2.45588235294118E-2</v>
      </c>
      <c r="N78">
        <v>1.25539427226363E-3</v>
      </c>
    </row>
    <row r="79" spans="1:14" x14ac:dyDescent="0.25">
      <c r="A79" t="s">
        <v>120</v>
      </c>
      <c r="B79">
        <v>1126</v>
      </c>
      <c r="C79">
        <v>55</v>
      </c>
      <c r="D79">
        <v>1</v>
      </c>
      <c r="E79" t="s">
        <v>40</v>
      </c>
      <c r="F79" t="s">
        <v>91</v>
      </c>
      <c r="G79" t="s">
        <v>16</v>
      </c>
      <c r="H79" s="1">
        <v>44577</v>
      </c>
      <c r="I79" t="s">
        <v>121</v>
      </c>
      <c r="J79" t="s">
        <v>18</v>
      </c>
      <c r="K79" t="s">
        <v>122</v>
      </c>
      <c r="L79" s="1">
        <v>44562</v>
      </c>
      <c r="M79">
        <v>4.8845470692717601E-2</v>
      </c>
      <c r="N79">
        <v>7.8462142016476997E-5</v>
      </c>
    </row>
    <row r="80" spans="1:14" x14ac:dyDescent="0.25">
      <c r="A80" t="s">
        <v>120</v>
      </c>
      <c r="B80">
        <v>1126</v>
      </c>
      <c r="C80">
        <v>55</v>
      </c>
      <c r="D80">
        <v>1</v>
      </c>
      <c r="E80" t="s">
        <v>40</v>
      </c>
      <c r="F80" t="s">
        <v>91</v>
      </c>
      <c r="G80" t="s">
        <v>16</v>
      </c>
      <c r="H80" s="1">
        <v>44911</v>
      </c>
      <c r="I80" t="s">
        <v>123</v>
      </c>
      <c r="J80" t="s">
        <v>24</v>
      </c>
      <c r="K80" t="s">
        <v>25</v>
      </c>
      <c r="L80" s="1">
        <v>44896</v>
      </c>
      <c r="M80">
        <v>4.8845470692717601E-2</v>
      </c>
      <c r="N80">
        <v>7.8462142016476997E-5</v>
      </c>
    </row>
    <row r="81" spans="1:14" x14ac:dyDescent="0.25">
      <c r="A81" t="s">
        <v>124</v>
      </c>
      <c r="B81">
        <v>7533</v>
      </c>
      <c r="C81">
        <v>3508</v>
      </c>
      <c r="D81">
        <v>12</v>
      </c>
      <c r="E81" t="s">
        <v>40</v>
      </c>
      <c r="F81" t="s">
        <v>41</v>
      </c>
      <c r="G81" t="s">
        <v>16</v>
      </c>
      <c r="H81" s="1">
        <v>45120</v>
      </c>
      <c r="I81" t="s">
        <v>125</v>
      </c>
      <c r="J81" t="s">
        <v>38</v>
      </c>
      <c r="K81" t="s">
        <v>66</v>
      </c>
      <c r="L81" s="1">
        <v>45108</v>
      </c>
      <c r="M81">
        <v>0.465684322315147</v>
      </c>
      <c r="N81">
        <v>9.4154570419772402E-4</v>
      </c>
    </row>
    <row r="82" spans="1:14" x14ac:dyDescent="0.25">
      <c r="A82" t="s">
        <v>124</v>
      </c>
      <c r="B82">
        <v>4734</v>
      </c>
      <c r="C82">
        <v>1178</v>
      </c>
      <c r="D82">
        <v>16</v>
      </c>
      <c r="E82" t="s">
        <v>28</v>
      </c>
      <c r="F82" t="s">
        <v>68</v>
      </c>
      <c r="G82" t="s">
        <v>42</v>
      </c>
      <c r="H82" s="1">
        <v>45120</v>
      </c>
      <c r="I82" t="s">
        <v>125</v>
      </c>
      <c r="J82" t="s">
        <v>38</v>
      </c>
      <c r="K82" t="s">
        <v>66</v>
      </c>
      <c r="L82" s="1">
        <v>45108</v>
      </c>
      <c r="M82">
        <v>0.24883819180397099</v>
      </c>
      <c r="N82">
        <v>1.25539427226363E-3</v>
      </c>
    </row>
    <row r="83" spans="1:14" x14ac:dyDescent="0.25">
      <c r="A83" t="s">
        <v>124</v>
      </c>
      <c r="B83">
        <v>4074</v>
      </c>
      <c r="C83">
        <v>1175</v>
      </c>
      <c r="D83">
        <v>6</v>
      </c>
      <c r="E83" t="s">
        <v>14</v>
      </c>
      <c r="F83" t="s">
        <v>15</v>
      </c>
      <c r="G83" t="s">
        <v>30</v>
      </c>
      <c r="H83" s="1">
        <v>45120</v>
      </c>
      <c r="I83" t="s">
        <v>125</v>
      </c>
      <c r="J83" t="s">
        <v>38</v>
      </c>
      <c r="K83" t="s">
        <v>66</v>
      </c>
      <c r="L83" s="1">
        <v>45108</v>
      </c>
      <c r="M83">
        <v>0.28841433480608702</v>
      </c>
      <c r="N83">
        <v>4.7077285209886201E-4</v>
      </c>
    </row>
    <row r="84" spans="1:14" x14ac:dyDescent="0.25">
      <c r="A84" t="s">
        <v>124</v>
      </c>
      <c r="B84">
        <v>2334</v>
      </c>
      <c r="C84">
        <v>484</v>
      </c>
      <c r="D84">
        <v>3</v>
      </c>
      <c r="E84" t="s">
        <v>40</v>
      </c>
      <c r="F84" t="s">
        <v>52</v>
      </c>
      <c r="G84" t="s">
        <v>42</v>
      </c>
      <c r="H84" s="1">
        <v>45120</v>
      </c>
      <c r="I84" t="s">
        <v>125</v>
      </c>
      <c r="J84" t="s">
        <v>38</v>
      </c>
      <c r="K84" t="s">
        <v>66</v>
      </c>
      <c r="L84" s="1">
        <v>45108</v>
      </c>
      <c r="M84">
        <v>0.207369323050557</v>
      </c>
      <c r="N84">
        <v>2.35386426049431E-4</v>
      </c>
    </row>
    <row r="85" spans="1:14" x14ac:dyDescent="0.25">
      <c r="A85" t="s">
        <v>126</v>
      </c>
      <c r="B85">
        <v>2750</v>
      </c>
      <c r="C85">
        <v>1239</v>
      </c>
      <c r="D85">
        <v>11</v>
      </c>
      <c r="E85" t="s">
        <v>14</v>
      </c>
      <c r="F85" t="s">
        <v>71</v>
      </c>
      <c r="G85" t="s">
        <v>30</v>
      </c>
      <c r="H85" s="1">
        <v>45726</v>
      </c>
      <c r="I85" t="s">
        <v>127</v>
      </c>
      <c r="J85" t="s">
        <v>24</v>
      </c>
      <c r="K85" t="s">
        <v>25</v>
      </c>
      <c r="L85" s="1">
        <v>45717</v>
      </c>
      <c r="M85">
        <v>0.45054545454545403</v>
      </c>
      <c r="N85">
        <v>8.6308356218124801E-4</v>
      </c>
    </row>
    <row r="86" spans="1:14" x14ac:dyDescent="0.25">
      <c r="A86" t="s">
        <v>126</v>
      </c>
      <c r="B86">
        <v>2750</v>
      </c>
      <c r="C86">
        <v>1239</v>
      </c>
      <c r="D86">
        <v>11</v>
      </c>
      <c r="E86" t="s">
        <v>14</v>
      </c>
      <c r="F86" t="s">
        <v>71</v>
      </c>
      <c r="G86" t="s">
        <v>30</v>
      </c>
      <c r="H86" s="1">
        <v>45559</v>
      </c>
      <c r="I86" t="s">
        <v>128</v>
      </c>
      <c r="J86" t="s">
        <v>83</v>
      </c>
      <c r="K86" t="s">
        <v>98</v>
      </c>
      <c r="L86" s="1">
        <v>45536</v>
      </c>
      <c r="M86">
        <v>0.45054545454545403</v>
      </c>
      <c r="N86">
        <v>8.6308356218124801E-4</v>
      </c>
    </row>
    <row r="87" spans="1:14" x14ac:dyDescent="0.25">
      <c r="A87" t="s">
        <v>126</v>
      </c>
      <c r="B87">
        <v>8639</v>
      </c>
      <c r="C87">
        <v>3104</v>
      </c>
      <c r="D87">
        <v>19</v>
      </c>
      <c r="E87" t="s">
        <v>28</v>
      </c>
      <c r="F87" t="s">
        <v>29</v>
      </c>
      <c r="G87" t="s">
        <v>36</v>
      </c>
      <c r="H87" s="1">
        <v>45726</v>
      </c>
      <c r="I87" t="s">
        <v>127</v>
      </c>
      <c r="J87" t="s">
        <v>24</v>
      </c>
      <c r="K87" t="s">
        <v>25</v>
      </c>
      <c r="L87" s="1">
        <v>45717</v>
      </c>
      <c r="M87">
        <v>0.35930084500520898</v>
      </c>
      <c r="N87">
        <v>1.4907806983130601E-3</v>
      </c>
    </row>
    <row r="88" spans="1:14" x14ac:dyDescent="0.25">
      <c r="A88" t="s">
        <v>126</v>
      </c>
      <c r="B88">
        <v>8639</v>
      </c>
      <c r="C88">
        <v>3104</v>
      </c>
      <c r="D88">
        <v>19</v>
      </c>
      <c r="E88" t="s">
        <v>28</v>
      </c>
      <c r="F88" t="s">
        <v>29</v>
      </c>
      <c r="G88" t="s">
        <v>36</v>
      </c>
      <c r="H88" s="1">
        <v>45559</v>
      </c>
      <c r="I88" t="s">
        <v>128</v>
      </c>
      <c r="J88" t="s">
        <v>83</v>
      </c>
      <c r="K88" t="s">
        <v>98</v>
      </c>
      <c r="L88" s="1">
        <v>45536</v>
      </c>
      <c r="M88">
        <v>0.35930084500520898</v>
      </c>
      <c r="N88">
        <v>1.4907806983130601E-3</v>
      </c>
    </row>
    <row r="89" spans="1:14" x14ac:dyDescent="0.25">
      <c r="A89" t="s">
        <v>129</v>
      </c>
      <c r="B89">
        <v>3808</v>
      </c>
      <c r="C89">
        <v>1192</v>
      </c>
      <c r="D89">
        <v>4</v>
      </c>
      <c r="E89" t="s">
        <v>28</v>
      </c>
      <c r="F89" t="s">
        <v>50</v>
      </c>
      <c r="G89" t="s">
        <v>16</v>
      </c>
      <c r="H89" s="1">
        <v>43934</v>
      </c>
      <c r="I89" t="s">
        <v>130</v>
      </c>
      <c r="J89" t="s">
        <v>24</v>
      </c>
      <c r="K89" t="s">
        <v>46</v>
      </c>
      <c r="L89" s="1">
        <v>43922</v>
      </c>
      <c r="M89">
        <v>0.313025210084034</v>
      </c>
      <c r="N89">
        <v>3.1384856806590799E-4</v>
      </c>
    </row>
    <row r="90" spans="1:14" x14ac:dyDescent="0.25">
      <c r="A90" t="s">
        <v>129</v>
      </c>
      <c r="B90">
        <v>2588</v>
      </c>
      <c r="C90">
        <v>705</v>
      </c>
      <c r="D90">
        <v>16</v>
      </c>
      <c r="E90" t="s">
        <v>28</v>
      </c>
      <c r="F90" t="s">
        <v>29</v>
      </c>
      <c r="G90" t="s">
        <v>42</v>
      </c>
      <c r="H90" s="1">
        <v>43934</v>
      </c>
      <c r="I90" t="s">
        <v>130</v>
      </c>
      <c r="J90" t="s">
        <v>24</v>
      </c>
      <c r="K90" t="s">
        <v>46</v>
      </c>
      <c r="L90" s="1">
        <v>43922</v>
      </c>
      <c r="M90">
        <v>0.27241112828439001</v>
      </c>
      <c r="N90">
        <v>1.25539427226363E-3</v>
      </c>
    </row>
    <row r="91" spans="1:14" x14ac:dyDescent="0.25">
      <c r="A91" t="s">
        <v>131</v>
      </c>
      <c r="B91">
        <v>1591</v>
      </c>
      <c r="C91">
        <v>727</v>
      </c>
      <c r="D91">
        <v>5</v>
      </c>
      <c r="E91" t="s">
        <v>14</v>
      </c>
      <c r="F91" t="s">
        <v>15</v>
      </c>
      <c r="G91" t="s">
        <v>42</v>
      </c>
      <c r="H91" s="1">
        <v>44739</v>
      </c>
      <c r="I91" t="s">
        <v>132</v>
      </c>
      <c r="J91" t="s">
        <v>21</v>
      </c>
      <c r="K91" t="s">
        <v>55</v>
      </c>
      <c r="L91" s="1">
        <v>44713</v>
      </c>
      <c r="M91">
        <v>0.45694531741043398</v>
      </c>
      <c r="N91">
        <v>3.9231071008238503E-4</v>
      </c>
    </row>
    <row r="92" spans="1:14" x14ac:dyDescent="0.25">
      <c r="A92" t="s">
        <v>131</v>
      </c>
      <c r="B92">
        <v>1591</v>
      </c>
      <c r="C92">
        <v>727</v>
      </c>
      <c r="D92">
        <v>5</v>
      </c>
      <c r="E92" t="s">
        <v>14</v>
      </c>
      <c r="F92" t="s">
        <v>15</v>
      </c>
      <c r="G92" t="s">
        <v>42</v>
      </c>
      <c r="H92" s="1">
        <v>44269</v>
      </c>
      <c r="I92" t="s">
        <v>133</v>
      </c>
      <c r="J92" t="s">
        <v>18</v>
      </c>
      <c r="K92" t="s">
        <v>122</v>
      </c>
      <c r="L92" s="1">
        <v>44256</v>
      </c>
      <c r="M92">
        <v>0.45694531741043398</v>
      </c>
      <c r="N92">
        <v>3.9231071008238503E-4</v>
      </c>
    </row>
    <row r="93" spans="1:14" x14ac:dyDescent="0.25">
      <c r="A93" t="s">
        <v>131</v>
      </c>
      <c r="B93">
        <v>1591</v>
      </c>
      <c r="C93">
        <v>727</v>
      </c>
      <c r="D93">
        <v>5</v>
      </c>
      <c r="E93" t="s">
        <v>14</v>
      </c>
      <c r="F93" t="s">
        <v>15</v>
      </c>
      <c r="G93" t="s">
        <v>42</v>
      </c>
      <c r="H93" s="1">
        <v>44615</v>
      </c>
      <c r="I93" t="s">
        <v>134</v>
      </c>
      <c r="J93" t="s">
        <v>83</v>
      </c>
      <c r="K93" t="s">
        <v>90</v>
      </c>
      <c r="L93" s="1">
        <v>44593</v>
      </c>
      <c r="M93">
        <v>0.45694531741043398</v>
      </c>
      <c r="N93">
        <v>3.9231071008238503E-4</v>
      </c>
    </row>
    <row r="94" spans="1:14" x14ac:dyDescent="0.25">
      <c r="A94" t="s">
        <v>135</v>
      </c>
      <c r="B94">
        <v>1757</v>
      </c>
      <c r="C94">
        <v>622</v>
      </c>
      <c r="D94">
        <v>10</v>
      </c>
      <c r="E94" t="s">
        <v>40</v>
      </c>
      <c r="F94" t="s">
        <v>44</v>
      </c>
      <c r="G94" t="s">
        <v>16</v>
      </c>
      <c r="H94" s="1">
        <v>44649</v>
      </c>
      <c r="I94" t="s">
        <v>136</v>
      </c>
      <c r="J94" t="s">
        <v>83</v>
      </c>
      <c r="K94" t="s">
        <v>98</v>
      </c>
      <c r="L94" s="1">
        <v>44621</v>
      </c>
      <c r="M94">
        <v>0.35401252134319899</v>
      </c>
      <c r="N94">
        <v>7.8462142016477005E-4</v>
      </c>
    </row>
    <row r="95" spans="1:14" x14ac:dyDescent="0.25">
      <c r="A95" t="s">
        <v>135</v>
      </c>
      <c r="B95">
        <v>1757</v>
      </c>
      <c r="C95">
        <v>622</v>
      </c>
      <c r="D95">
        <v>10</v>
      </c>
      <c r="E95" t="s">
        <v>40</v>
      </c>
      <c r="F95" t="s">
        <v>44</v>
      </c>
      <c r="G95" t="s">
        <v>16</v>
      </c>
      <c r="H95" s="1">
        <v>44885</v>
      </c>
      <c r="I95" t="s">
        <v>137</v>
      </c>
      <c r="J95" t="s">
        <v>21</v>
      </c>
      <c r="K95" t="s">
        <v>138</v>
      </c>
      <c r="L95" s="1">
        <v>44866</v>
      </c>
      <c r="M95">
        <v>0.35401252134319899</v>
      </c>
      <c r="N95">
        <v>7.8462142016477005E-4</v>
      </c>
    </row>
    <row r="96" spans="1:14" x14ac:dyDescent="0.25">
      <c r="A96" t="s">
        <v>139</v>
      </c>
      <c r="B96">
        <v>6940</v>
      </c>
      <c r="C96">
        <v>253</v>
      </c>
      <c r="D96">
        <v>15</v>
      </c>
      <c r="E96" t="s">
        <v>40</v>
      </c>
      <c r="F96" t="s">
        <v>91</v>
      </c>
      <c r="G96" t="s">
        <v>30</v>
      </c>
      <c r="H96" s="1">
        <v>44512</v>
      </c>
      <c r="I96" t="s">
        <v>140</v>
      </c>
      <c r="J96" t="s">
        <v>18</v>
      </c>
      <c r="K96" t="s">
        <v>32</v>
      </c>
      <c r="L96" s="1">
        <v>44501</v>
      </c>
      <c r="M96">
        <v>3.6455331412103803E-2</v>
      </c>
      <c r="N96">
        <v>1.17693213024716E-3</v>
      </c>
    </row>
    <row r="97" spans="1:14" x14ac:dyDescent="0.25">
      <c r="A97" t="s">
        <v>139</v>
      </c>
      <c r="B97">
        <v>5105</v>
      </c>
      <c r="C97">
        <v>465</v>
      </c>
      <c r="D97">
        <v>5</v>
      </c>
      <c r="E97" t="s">
        <v>14</v>
      </c>
      <c r="F97" t="s">
        <v>26</v>
      </c>
      <c r="G97" t="s">
        <v>16</v>
      </c>
      <c r="H97" s="1">
        <v>44512</v>
      </c>
      <c r="I97" t="s">
        <v>140</v>
      </c>
      <c r="J97" t="s">
        <v>18</v>
      </c>
      <c r="K97" t="s">
        <v>32</v>
      </c>
      <c r="L97" s="1">
        <v>44501</v>
      </c>
      <c r="M97">
        <v>9.1087169441723806E-2</v>
      </c>
      <c r="N97">
        <v>3.9231071008238503E-4</v>
      </c>
    </row>
    <row r="98" spans="1:14" x14ac:dyDescent="0.25">
      <c r="A98" t="s">
        <v>141</v>
      </c>
      <c r="B98">
        <v>5578</v>
      </c>
      <c r="C98">
        <v>277</v>
      </c>
      <c r="D98">
        <v>16</v>
      </c>
      <c r="E98" t="s">
        <v>40</v>
      </c>
      <c r="F98" t="s">
        <v>41</v>
      </c>
      <c r="G98" t="s">
        <v>57</v>
      </c>
      <c r="H98" s="1">
        <v>44425</v>
      </c>
      <c r="I98" t="s">
        <v>142</v>
      </c>
      <c r="J98" t="s">
        <v>18</v>
      </c>
      <c r="K98" t="s">
        <v>19</v>
      </c>
      <c r="L98" s="1">
        <v>44409</v>
      </c>
      <c r="M98">
        <v>4.9659376120473303E-2</v>
      </c>
      <c r="N98">
        <v>1.25539427226363E-3</v>
      </c>
    </row>
    <row r="99" spans="1:14" x14ac:dyDescent="0.25">
      <c r="A99" t="s">
        <v>141</v>
      </c>
      <c r="B99">
        <v>5578</v>
      </c>
      <c r="C99">
        <v>277</v>
      </c>
      <c r="D99">
        <v>16</v>
      </c>
      <c r="E99" t="s">
        <v>40</v>
      </c>
      <c r="F99" t="s">
        <v>41</v>
      </c>
      <c r="G99" t="s">
        <v>57</v>
      </c>
      <c r="H99" s="1">
        <v>44697</v>
      </c>
      <c r="I99" t="s">
        <v>143</v>
      </c>
      <c r="J99" t="s">
        <v>83</v>
      </c>
      <c r="K99" t="s">
        <v>84</v>
      </c>
      <c r="L99" s="1">
        <v>44682</v>
      </c>
      <c r="M99">
        <v>4.9659376120473303E-2</v>
      </c>
      <c r="N99">
        <v>1.25539427226363E-3</v>
      </c>
    </row>
    <row r="100" spans="1:14" x14ac:dyDescent="0.25">
      <c r="A100" t="s">
        <v>144</v>
      </c>
      <c r="B100">
        <v>5224</v>
      </c>
      <c r="C100">
        <v>1958</v>
      </c>
      <c r="D100">
        <v>16</v>
      </c>
      <c r="E100" t="s">
        <v>40</v>
      </c>
      <c r="F100" t="s">
        <v>44</v>
      </c>
      <c r="G100" t="s">
        <v>42</v>
      </c>
      <c r="H100" s="1">
        <v>45123</v>
      </c>
      <c r="I100" t="s">
        <v>145</v>
      </c>
      <c r="J100" t="s">
        <v>63</v>
      </c>
      <c r="K100" t="s">
        <v>112</v>
      </c>
      <c r="L100" s="1">
        <v>45108</v>
      </c>
      <c r="M100">
        <v>0.37480857580398202</v>
      </c>
      <c r="N100">
        <v>1.25539427226363E-3</v>
      </c>
    </row>
    <row r="101" spans="1:14" x14ac:dyDescent="0.25">
      <c r="A101" t="s">
        <v>144</v>
      </c>
      <c r="B101">
        <v>5002</v>
      </c>
      <c r="C101">
        <v>1801</v>
      </c>
      <c r="D101">
        <v>11</v>
      </c>
      <c r="E101" t="s">
        <v>28</v>
      </c>
      <c r="F101" t="s">
        <v>50</v>
      </c>
      <c r="G101" t="s">
        <v>42</v>
      </c>
      <c r="H101" s="1">
        <v>45123</v>
      </c>
      <c r="I101" t="s">
        <v>145</v>
      </c>
      <c r="J101" t="s">
        <v>63</v>
      </c>
      <c r="K101" t="s">
        <v>112</v>
      </c>
      <c r="L101" s="1">
        <v>45108</v>
      </c>
      <c r="M101">
        <v>0.36005597760895602</v>
      </c>
      <c r="N101">
        <v>8.6308356218124801E-4</v>
      </c>
    </row>
    <row r="102" spans="1:14" x14ac:dyDescent="0.25">
      <c r="A102" t="s">
        <v>144</v>
      </c>
      <c r="B102">
        <v>7380</v>
      </c>
      <c r="C102">
        <v>1673</v>
      </c>
      <c r="D102">
        <v>18</v>
      </c>
      <c r="E102" t="s">
        <v>28</v>
      </c>
      <c r="F102" t="s">
        <v>50</v>
      </c>
      <c r="G102" t="s">
        <v>57</v>
      </c>
      <c r="H102" s="1">
        <v>45123</v>
      </c>
      <c r="I102" t="s">
        <v>145</v>
      </c>
      <c r="J102" t="s">
        <v>63</v>
      </c>
      <c r="K102" t="s">
        <v>112</v>
      </c>
      <c r="L102" s="1">
        <v>45108</v>
      </c>
      <c r="M102">
        <v>0.22669376693766899</v>
      </c>
      <c r="N102">
        <v>1.41231855629659E-3</v>
      </c>
    </row>
    <row r="103" spans="1:14" x14ac:dyDescent="0.25">
      <c r="A103" t="s">
        <v>146</v>
      </c>
      <c r="B103">
        <v>7595</v>
      </c>
      <c r="C103">
        <v>2873</v>
      </c>
      <c r="D103">
        <v>4</v>
      </c>
      <c r="E103" t="s">
        <v>40</v>
      </c>
      <c r="F103" t="s">
        <v>44</v>
      </c>
      <c r="G103" t="s">
        <v>30</v>
      </c>
      <c r="H103" s="1">
        <v>44061</v>
      </c>
      <c r="I103" t="s">
        <v>147</v>
      </c>
      <c r="J103" t="s">
        <v>38</v>
      </c>
      <c r="K103" t="s">
        <v>39</v>
      </c>
      <c r="L103" s="1">
        <v>44044</v>
      </c>
      <c r="M103">
        <v>0.378275181040158</v>
      </c>
      <c r="N103">
        <v>3.1384856806590799E-4</v>
      </c>
    </row>
    <row r="104" spans="1:14" x14ac:dyDescent="0.25">
      <c r="A104" t="s">
        <v>146</v>
      </c>
      <c r="B104">
        <v>7595</v>
      </c>
      <c r="C104">
        <v>2873</v>
      </c>
      <c r="D104">
        <v>4</v>
      </c>
      <c r="E104" t="s">
        <v>40</v>
      </c>
      <c r="F104" t="s">
        <v>44</v>
      </c>
      <c r="G104" t="s">
        <v>30</v>
      </c>
      <c r="H104" s="1">
        <v>44670</v>
      </c>
      <c r="I104" t="s">
        <v>148</v>
      </c>
      <c r="J104" t="s">
        <v>24</v>
      </c>
      <c r="K104" t="s">
        <v>60</v>
      </c>
      <c r="L104" s="1">
        <v>44652</v>
      </c>
      <c r="M104">
        <v>0.378275181040158</v>
      </c>
      <c r="N104">
        <v>3.1384856806590799E-4</v>
      </c>
    </row>
    <row r="105" spans="1:14" x14ac:dyDescent="0.25">
      <c r="A105" t="s">
        <v>149</v>
      </c>
      <c r="B105">
        <v>1954</v>
      </c>
      <c r="C105">
        <v>294</v>
      </c>
      <c r="D105">
        <v>7</v>
      </c>
      <c r="E105" t="s">
        <v>40</v>
      </c>
      <c r="F105" t="s">
        <v>52</v>
      </c>
      <c r="G105" t="s">
        <v>30</v>
      </c>
      <c r="H105" s="1">
        <v>44918</v>
      </c>
      <c r="I105" t="s">
        <v>150</v>
      </c>
      <c r="J105" t="s">
        <v>63</v>
      </c>
      <c r="K105" t="s">
        <v>75</v>
      </c>
      <c r="L105" s="1">
        <v>44896</v>
      </c>
      <c r="M105">
        <v>0.15046059365404299</v>
      </c>
      <c r="N105">
        <v>5.4923499411533899E-4</v>
      </c>
    </row>
    <row r="106" spans="1:14" x14ac:dyDescent="0.25">
      <c r="A106" t="s">
        <v>151</v>
      </c>
      <c r="B106">
        <v>523</v>
      </c>
      <c r="C106">
        <v>95</v>
      </c>
      <c r="D106">
        <v>20</v>
      </c>
      <c r="E106" t="s">
        <v>14</v>
      </c>
      <c r="F106" t="s">
        <v>26</v>
      </c>
      <c r="G106" t="s">
        <v>36</v>
      </c>
      <c r="H106" s="1">
        <v>45633</v>
      </c>
      <c r="I106" t="s">
        <v>152</v>
      </c>
      <c r="J106" t="s">
        <v>63</v>
      </c>
      <c r="K106" t="s">
        <v>64</v>
      </c>
      <c r="L106" s="1">
        <v>45627</v>
      </c>
      <c r="M106">
        <v>0.18164435946462701</v>
      </c>
      <c r="N106">
        <v>1.5692428403295401E-3</v>
      </c>
    </row>
    <row r="107" spans="1:14" x14ac:dyDescent="0.25">
      <c r="A107" t="s">
        <v>153</v>
      </c>
      <c r="B107">
        <v>5704</v>
      </c>
      <c r="C107">
        <v>714</v>
      </c>
      <c r="D107">
        <v>13</v>
      </c>
      <c r="E107" t="s">
        <v>14</v>
      </c>
      <c r="F107" t="s">
        <v>35</v>
      </c>
      <c r="G107" t="s">
        <v>36</v>
      </c>
      <c r="H107" s="1">
        <v>44595</v>
      </c>
      <c r="I107" t="s">
        <v>154</v>
      </c>
      <c r="J107" t="s">
        <v>63</v>
      </c>
      <c r="K107" t="s">
        <v>75</v>
      </c>
      <c r="L107" s="1">
        <v>44593</v>
      </c>
      <c r="M107">
        <v>0.125175315568022</v>
      </c>
      <c r="N107">
        <v>1.0200078462141999E-3</v>
      </c>
    </row>
    <row r="108" spans="1:14" x14ac:dyDescent="0.25">
      <c r="A108" t="s">
        <v>153</v>
      </c>
      <c r="B108">
        <v>5704</v>
      </c>
      <c r="C108">
        <v>714</v>
      </c>
      <c r="D108">
        <v>13</v>
      </c>
      <c r="E108" t="s">
        <v>14</v>
      </c>
      <c r="F108" t="s">
        <v>35</v>
      </c>
      <c r="G108" t="s">
        <v>36</v>
      </c>
      <c r="H108" s="1">
        <v>44542</v>
      </c>
      <c r="I108" t="s">
        <v>155</v>
      </c>
      <c r="J108" t="s">
        <v>38</v>
      </c>
      <c r="K108" t="s">
        <v>66</v>
      </c>
      <c r="L108" s="1">
        <v>44531</v>
      </c>
      <c r="M108">
        <v>0.125175315568022</v>
      </c>
      <c r="N108">
        <v>1.0200078462141999E-3</v>
      </c>
    </row>
    <row r="109" spans="1:14" x14ac:dyDescent="0.25">
      <c r="A109" t="s">
        <v>153</v>
      </c>
      <c r="B109">
        <v>8797</v>
      </c>
      <c r="C109">
        <v>1010</v>
      </c>
      <c r="D109">
        <v>8</v>
      </c>
      <c r="E109" t="s">
        <v>40</v>
      </c>
      <c r="F109" t="s">
        <v>41</v>
      </c>
      <c r="G109" t="s">
        <v>16</v>
      </c>
      <c r="H109" s="1">
        <v>44595</v>
      </c>
      <c r="I109" t="s">
        <v>154</v>
      </c>
      <c r="J109" t="s">
        <v>63</v>
      </c>
      <c r="K109" t="s">
        <v>75</v>
      </c>
      <c r="L109" s="1">
        <v>44593</v>
      </c>
      <c r="M109">
        <v>0.114811867682164</v>
      </c>
      <c r="N109">
        <v>6.2769713613181597E-4</v>
      </c>
    </row>
    <row r="110" spans="1:14" x14ac:dyDescent="0.25">
      <c r="A110" t="s">
        <v>153</v>
      </c>
      <c r="B110">
        <v>8797</v>
      </c>
      <c r="C110">
        <v>1010</v>
      </c>
      <c r="D110">
        <v>8</v>
      </c>
      <c r="E110" t="s">
        <v>40</v>
      </c>
      <c r="F110" t="s">
        <v>41</v>
      </c>
      <c r="G110" t="s">
        <v>16</v>
      </c>
      <c r="H110" s="1">
        <v>44542</v>
      </c>
      <c r="I110" t="s">
        <v>155</v>
      </c>
      <c r="J110" t="s">
        <v>38</v>
      </c>
      <c r="K110" t="s">
        <v>66</v>
      </c>
      <c r="L110" s="1">
        <v>44531</v>
      </c>
      <c r="M110">
        <v>0.114811867682164</v>
      </c>
      <c r="N110">
        <v>6.2769713613181597E-4</v>
      </c>
    </row>
    <row r="111" spans="1:14" x14ac:dyDescent="0.25">
      <c r="A111" t="s">
        <v>153</v>
      </c>
      <c r="B111">
        <v>9236</v>
      </c>
      <c r="C111">
        <v>2899</v>
      </c>
      <c r="D111">
        <v>5</v>
      </c>
      <c r="E111" t="s">
        <v>14</v>
      </c>
      <c r="F111" t="s">
        <v>35</v>
      </c>
      <c r="G111" t="s">
        <v>30</v>
      </c>
      <c r="H111" s="1">
        <v>44595</v>
      </c>
      <c r="I111" t="s">
        <v>154</v>
      </c>
      <c r="J111" t="s">
        <v>63</v>
      </c>
      <c r="K111" t="s">
        <v>75</v>
      </c>
      <c r="L111" s="1">
        <v>44593</v>
      </c>
      <c r="M111">
        <v>0.31388046773494999</v>
      </c>
      <c r="N111">
        <v>3.9231071008238503E-4</v>
      </c>
    </row>
    <row r="112" spans="1:14" x14ac:dyDescent="0.25">
      <c r="A112" t="s">
        <v>153</v>
      </c>
      <c r="B112">
        <v>9236</v>
      </c>
      <c r="C112">
        <v>2899</v>
      </c>
      <c r="D112">
        <v>5</v>
      </c>
      <c r="E112" t="s">
        <v>14</v>
      </c>
      <c r="F112" t="s">
        <v>35</v>
      </c>
      <c r="G112" t="s">
        <v>30</v>
      </c>
      <c r="H112" s="1">
        <v>44542</v>
      </c>
      <c r="I112" t="s">
        <v>155</v>
      </c>
      <c r="J112" t="s">
        <v>38</v>
      </c>
      <c r="K112" t="s">
        <v>66</v>
      </c>
      <c r="L112" s="1">
        <v>44531</v>
      </c>
      <c r="M112">
        <v>0.31388046773494999</v>
      </c>
      <c r="N112">
        <v>3.9231071008238503E-4</v>
      </c>
    </row>
    <row r="113" spans="1:14" x14ac:dyDescent="0.25">
      <c r="A113" t="s">
        <v>156</v>
      </c>
      <c r="B113">
        <v>9109</v>
      </c>
      <c r="C113">
        <v>586</v>
      </c>
      <c r="D113">
        <v>17</v>
      </c>
      <c r="E113" t="s">
        <v>40</v>
      </c>
      <c r="F113" t="s">
        <v>52</v>
      </c>
      <c r="G113" t="s">
        <v>36</v>
      </c>
      <c r="H113" s="1">
        <v>43968</v>
      </c>
      <c r="I113" t="s">
        <v>157</v>
      </c>
      <c r="J113" t="s">
        <v>18</v>
      </c>
      <c r="K113" t="s">
        <v>19</v>
      </c>
      <c r="L113" s="1">
        <v>43952</v>
      </c>
      <c r="M113">
        <v>6.4331979361071503E-2</v>
      </c>
      <c r="N113">
        <v>1.33385641428011E-3</v>
      </c>
    </row>
    <row r="114" spans="1:14" x14ac:dyDescent="0.25">
      <c r="A114" t="s">
        <v>158</v>
      </c>
      <c r="B114">
        <v>4358</v>
      </c>
      <c r="C114">
        <v>526</v>
      </c>
      <c r="D114">
        <v>19</v>
      </c>
      <c r="E114" t="s">
        <v>14</v>
      </c>
      <c r="F114" t="s">
        <v>71</v>
      </c>
      <c r="G114" t="s">
        <v>42</v>
      </c>
      <c r="H114" s="1">
        <v>44900</v>
      </c>
      <c r="I114" t="s">
        <v>159</v>
      </c>
      <c r="J114" t="s">
        <v>63</v>
      </c>
      <c r="K114" t="s">
        <v>64</v>
      </c>
      <c r="L114" s="1">
        <v>44896</v>
      </c>
      <c r="M114">
        <v>0.120697567691602</v>
      </c>
      <c r="N114">
        <v>1.4907806983130601E-3</v>
      </c>
    </row>
    <row r="115" spans="1:14" x14ac:dyDescent="0.25">
      <c r="A115" t="s">
        <v>158</v>
      </c>
      <c r="B115">
        <v>4358</v>
      </c>
      <c r="C115">
        <v>526</v>
      </c>
      <c r="D115">
        <v>19</v>
      </c>
      <c r="E115" t="s">
        <v>14</v>
      </c>
      <c r="F115" t="s">
        <v>71</v>
      </c>
      <c r="G115" t="s">
        <v>42</v>
      </c>
      <c r="H115" s="1">
        <v>45552</v>
      </c>
      <c r="I115" t="s">
        <v>160</v>
      </c>
      <c r="J115" t="s">
        <v>38</v>
      </c>
      <c r="K115" t="s">
        <v>79</v>
      </c>
      <c r="L115" s="1">
        <v>45536</v>
      </c>
      <c r="M115">
        <v>0.120697567691602</v>
      </c>
      <c r="N115">
        <v>1.4907806983130601E-3</v>
      </c>
    </row>
    <row r="116" spans="1:14" x14ac:dyDescent="0.25">
      <c r="A116" t="s">
        <v>158</v>
      </c>
      <c r="B116">
        <v>6459</v>
      </c>
      <c r="C116">
        <v>825</v>
      </c>
      <c r="D116">
        <v>8</v>
      </c>
      <c r="E116" t="s">
        <v>14</v>
      </c>
      <c r="F116" t="s">
        <v>71</v>
      </c>
      <c r="G116" t="s">
        <v>42</v>
      </c>
      <c r="H116" s="1">
        <v>44900</v>
      </c>
      <c r="I116" t="s">
        <v>159</v>
      </c>
      <c r="J116" t="s">
        <v>63</v>
      </c>
      <c r="K116" t="s">
        <v>64</v>
      </c>
      <c r="L116" s="1">
        <v>44896</v>
      </c>
      <c r="M116">
        <v>0.127728750580585</v>
      </c>
      <c r="N116">
        <v>6.2769713613181597E-4</v>
      </c>
    </row>
    <row r="117" spans="1:14" x14ac:dyDescent="0.25">
      <c r="A117" t="s">
        <v>158</v>
      </c>
      <c r="B117">
        <v>6459</v>
      </c>
      <c r="C117">
        <v>825</v>
      </c>
      <c r="D117">
        <v>8</v>
      </c>
      <c r="E117" t="s">
        <v>14</v>
      </c>
      <c r="F117" t="s">
        <v>71</v>
      </c>
      <c r="G117" t="s">
        <v>42</v>
      </c>
      <c r="H117" s="1">
        <v>45552</v>
      </c>
      <c r="I117" t="s">
        <v>160</v>
      </c>
      <c r="J117" t="s">
        <v>38</v>
      </c>
      <c r="K117" t="s">
        <v>79</v>
      </c>
      <c r="L117" s="1">
        <v>45536</v>
      </c>
      <c r="M117">
        <v>0.127728750580585</v>
      </c>
      <c r="N117">
        <v>6.2769713613181597E-4</v>
      </c>
    </row>
    <row r="118" spans="1:14" x14ac:dyDescent="0.25">
      <c r="A118" t="s">
        <v>161</v>
      </c>
      <c r="B118">
        <v>2478</v>
      </c>
      <c r="C118">
        <v>92</v>
      </c>
      <c r="D118">
        <v>12</v>
      </c>
      <c r="E118" t="s">
        <v>40</v>
      </c>
      <c r="F118" t="s">
        <v>91</v>
      </c>
      <c r="G118" t="s">
        <v>57</v>
      </c>
      <c r="H118" s="1">
        <v>45054</v>
      </c>
      <c r="I118" t="s">
        <v>162</v>
      </c>
      <c r="J118" t="s">
        <v>38</v>
      </c>
      <c r="K118" t="s">
        <v>79</v>
      </c>
      <c r="L118" s="1">
        <v>45047</v>
      </c>
      <c r="M118">
        <v>3.71267150928168E-2</v>
      </c>
      <c r="N118">
        <v>9.4154570419772402E-4</v>
      </c>
    </row>
    <row r="119" spans="1:14" x14ac:dyDescent="0.25">
      <c r="A119" t="s">
        <v>161</v>
      </c>
      <c r="B119">
        <v>2478</v>
      </c>
      <c r="C119">
        <v>92</v>
      </c>
      <c r="D119">
        <v>12</v>
      </c>
      <c r="E119" t="s">
        <v>40</v>
      </c>
      <c r="F119" t="s">
        <v>91</v>
      </c>
      <c r="G119" t="s">
        <v>57</v>
      </c>
      <c r="H119" s="1">
        <v>44258</v>
      </c>
      <c r="I119" t="s">
        <v>163</v>
      </c>
      <c r="J119" t="s">
        <v>24</v>
      </c>
      <c r="K119" t="s">
        <v>46</v>
      </c>
      <c r="L119" s="1">
        <v>44256</v>
      </c>
      <c r="M119">
        <v>3.71267150928168E-2</v>
      </c>
      <c r="N119">
        <v>9.4154570419772402E-4</v>
      </c>
    </row>
    <row r="120" spans="1:14" x14ac:dyDescent="0.25">
      <c r="A120" t="s">
        <v>161</v>
      </c>
      <c r="B120">
        <v>2478</v>
      </c>
      <c r="C120">
        <v>92</v>
      </c>
      <c r="D120">
        <v>12</v>
      </c>
      <c r="E120" t="s">
        <v>40</v>
      </c>
      <c r="F120" t="s">
        <v>91</v>
      </c>
      <c r="G120" t="s">
        <v>57</v>
      </c>
      <c r="H120" s="1">
        <v>44273</v>
      </c>
      <c r="I120" t="s">
        <v>164</v>
      </c>
      <c r="J120" t="s">
        <v>38</v>
      </c>
      <c r="K120" t="s">
        <v>79</v>
      </c>
      <c r="L120" s="1">
        <v>44256</v>
      </c>
      <c r="M120">
        <v>3.71267150928168E-2</v>
      </c>
      <c r="N120">
        <v>9.4154570419772402E-4</v>
      </c>
    </row>
    <row r="121" spans="1:14" x14ac:dyDescent="0.25">
      <c r="A121" t="s">
        <v>161</v>
      </c>
      <c r="B121">
        <v>2478</v>
      </c>
      <c r="C121">
        <v>92</v>
      </c>
      <c r="D121">
        <v>12</v>
      </c>
      <c r="E121" t="s">
        <v>40</v>
      </c>
      <c r="F121" t="s">
        <v>91</v>
      </c>
      <c r="G121" t="s">
        <v>57</v>
      </c>
      <c r="H121" s="1">
        <v>45040</v>
      </c>
      <c r="I121" t="s">
        <v>165</v>
      </c>
      <c r="J121" t="s">
        <v>83</v>
      </c>
      <c r="K121" t="s">
        <v>98</v>
      </c>
      <c r="L121" s="1">
        <v>45017</v>
      </c>
      <c r="M121">
        <v>3.71267150928168E-2</v>
      </c>
      <c r="N121">
        <v>9.4154570419772402E-4</v>
      </c>
    </row>
    <row r="122" spans="1:14" x14ac:dyDescent="0.25">
      <c r="A122" t="s">
        <v>166</v>
      </c>
      <c r="B122">
        <v>9992</v>
      </c>
      <c r="C122">
        <v>3696</v>
      </c>
      <c r="D122">
        <v>20</v>
      </c>
      <c r="E122" t="s">
        <v>28</v>
      </c>
      <c r="F122" t="s">
        <v>29</v>
      </c>
      <c r="G122" t="s">
        <v>30</v>
      </c>
      <c r="H122" s="1">
        <v>44478</v>
      </c>
      <c r="I122" t="s">
        <v>167</v>
      </c>
      <c r="J122" t="s">
        <v>24</v>
      </c>
      <c r="K122" t="s">
        <v>60</v>
      </c>
      <c r="L122" s="1">
        <v>44470</v>
      </c>
      <c r="M122">
        <v>0.36989591673338701</v>
      </c>
      <c r="N122">
        <v>1.5692428403295401E-3</v>
      </c>
    </row>
    <row r="123" spans="1:14" x14ac:dyDescent="0.25">
      <c r="A123" t="s">
        <v>166</v>
      </c>
      <c r="B123">
        <v>9992</v>
      </c>
      <c r="C123">
        <v>3696</v>
      </c>
      <c r="D123">
        <v>20</v>
      </c>
      <c r="E123" t="s">
        <v>28</v>
      </c>
      <c r="F123" t="s">
        <v>29</v>
      </c>
      <c r="G123" t="s">
        <v>30</v>
      </c>
      <c r="H123" s="1">
        <v>44666</v>
      </c>
      <c r="I123" t="s">
        <v>168</v>
      </c>
      <c r="J123" t="s">
        <v>63</v>
      </c>
      <c r="K123" t="s">
        <v>75</v>
      </c>
      <c r="L123" s="1">
        <v>44652</v>
      </c>
      <c r="M123">
        <v>0.36989591673338701</v>
      </c>
      <c r="N123">
        <v>1.5692428403295401E-3</v>
      </c>
    </row>
    <row r="124" spans="1:14" x14ac:dyDescent="0.25">
      <c r="A124" t="s">
        <v>166</v>
      </c>
      <c r="B124">
        <v>9992</v>
      </c>
      <c r="C124">
        <v>3696</v>
      </c>
      <c r="D124">
        <v>20</v>
      </c>
      <c r="E124" t="s">
        <v>28</v>
      </c>
      <c r="F124" t="s">
        <v>29</v>
      </c>
      <c r="G124" t="s">
        <v>30</v>
      </c>
      <c r="H124" s="1">
        <v>44802</v>
      </c>
      <c r="I124" t="s">
        <v>169</v>
      </c>
      <c r="J124" t="s">
        <v>24</v>
      </c>
      <c r="K124" t="s">
        <v>60</v>
      </c>
      <c r="L124" s="1">
        <v>44774</v>
      </c>
      <c r="M124">
        <v>0.36989591673338701</v>
      </c>
      <c r="N124">
        <v>1.5692428403295401E-3</v>
      </c>
    </row>
    <row r="125" spans="1:14" x14ac:dyDescent="0.25">
      <c r="A125" t="s">
        <v>166</v>
      </c>
      <c r="B125">
        <v>9619</v>
      </c>
      <c r="C125">
        <v>3420</v>
      </c>
      <c r="D125">
        <v>7</v>
      </c>
      <c r="E125" t="s">
        <v>28</v>
      </c>
      <c r="F125" t="s">
        <v>68</v>
      </c>
      <c r="G125" t="s">
        <v>16</v>
      </c>
      <c r="H125" s="1">
        <v>44478</v>
      </c>
      <c r="I125" t="s">
        <v>167</v>
      </c>
      <c r="J125" t="s">
        <v>24</v>
      </c>
      <c r="K125" t="s">
        <v>60</v>
      </c>
      <c r="L125" s="1">
        <v>44470</v>
      </c>
      <c r="M125">
        <v>0.35554631458571601</v>
      </c>
      <c r="N125">
        <v>5.4923499411533899E-4</v>
      </c>
    </row>
    <row r="126" spans="1:14" x14ac:dyDescent="0.25">
      <c r="A126" t="s">
        <v>166</v>
      </c>
      <c r="B126">
        <v>9619</v>
      </c>
      <c r="C126">
        <v>3420</v>
      </c>
      <c r="D126">
        <v>7</v>
      </c>
      <c r="E126" t="s">
        <v>28</v>
      </c>
      <c r="F126" t="s">
        <v>68</v>
      </c>
      <c r="G126" t="s">
        <v>16</v>
      </c>
      <c r="H126" s="1">
        <v>44666</v>
      </c>
      <c r="I126" t="s">
        <v>168</v>
      </c>
      <c r="J126" t="s">
        <v>63</v>
      </c>
      <c r="K126" t="s">
        <v>75</v>
      </c>
      <c r="L126" s="1">
        <v>44652</v>
      </c>
      <c r="M126">
        <v>0.35554631458571601</v>
      </c>
      <c r="N126">
        <v>5.4923499411533899E-4</v>
      </c>
    </row>
    <row r="127" spans="1:14" x14ac:dyDescent="0.25">
      <c r="A127" t="s">
        <v>166</v>
      </c>
      <c r="B127">
        <v>9619</v>
      </c>
      <c r="C127">
        <v>3420</v>
      </c>
      <c r="D127">
        <v>7</v>
      </c>
      <c r="E127" t="s">
        <v>28</v>
      </c>
      <c r="F127" t="s">
        <v>68</v>
      </c>
      <c r="G127" t="s">
        <v>16</v>
      </c>
      <c r="H127" s="1">
        <v>44802</v>
      </c>
      <c r="I127" t="s">
        <v>169</v>
      </c>
      <c r="J127" t="s">
        <v>24</v>
      </c>
      <c r="K127" t="s">
        <v>60</v>
      </c>
      <c r="L127" s="1">
        <v>44774</v>
      </c>
      <c r="M127">
        <v>0.35554631458571601</v>
      </c>
      <c r="N127">
        <v>5.4923499411533899E-4</v>
      </c>
    </row>
    <row r="128" spans="1:14" x14ac:dyDescent="0.25">
      <c r="A128" t="s">
        <v>170</v>
      </c>
      <c r="B128">
        <v>9538</v>
      </c>
      <c r="C128">
        <v>3158</v>
      </c>
      <c r="D128">
        <v>20</v>
      </c>
      <c r="E128" t="s">
        <v>14</v>
      </c>
      <c r="F128" t="s">
        <v>26</v>
      </c>
      <c r="G128" t="s">
        <v>42</v>
      </c>
      <c r="H128" s="1">
        <v>45539</v>
      </c>
      <c r="I128" t="s">
        <v>171</v>
      </c>
      <c r="J128" t="s">
        <v>38</v>
      </c>
      <c r="K128" t="s">
        <v>79</v>
      </c>
      <c r="L128" s="1">
        <v>45536</v>
      </c>
      <c r="M128">
        <v>0.33109666596770798</v>
      </c>
      <c r="N128">
        <v>1.5692428403295401E-3</v>
      </c>
    </row>
    <row r="129" spans="1:14" x14ac:dyDescent="0.25">
      <c r="A129" t="s">
        <v>170</v>
      </c>
      <c r="B129">
        <v>9538</v>
      </c>
      <c r="C129">
        <v>3158</v>
      </c>
      <c r="D129">
        <v>20</v>
      </c>
      <c r="E129" t="s">
        <v>14</v>
      </c>
      <c r="F129" t="s">
        <v>26</v>
      </c>
      <c r="G129" t="s">
        <v>42</v>
      </c>
      <c r="H129" s="1">
        <v>44334</v>
      </c>
      <c r="I129" t="s">
        <v>172</v>
      </c>
      <c r="J129" t="s">
        <v>83</v>
      </c>
      <c r="K129" t="s">
        <v>98</v>
      </c>
      <c r="L129" s="1">
        <v>44317</v>
      </c>
      <c r="M129">
        <v>0.33109666596770798</v>
      </c>
      <c r="N129">
        <v>1.5692428403295401E-3</v>
      </c>
    </row>
    <row r="130" spans="1:14" x14ac:dyDescent="0.25">
      <c r="A130" t="s">
        <v>170</v>
      </c>
      <c r="B130">
        <v>9035</v>
      </c>
      <c r="C130">
        <v>1227</v>
      </c>
      <c r="D130">
        <v>14</v>
      </c>
      <c r="E130" t="s">
        <v>40</v>
      </c>
      <c r="F130" t="s">
        <v>44</v>
      </c>
      <c r="G130" t="s">
        <v>36</v>
      </c>
      <c r="H130" s="1">
        <v>45539</v>
      </c>
      <c r="I130" t="s">
        <v>171</v>
      </c>
      <c r="J130" t="s">
        <v>38</v>
      </c>
      <c r="K130" t="s">
        <v>79</v>
      </c>
      <c r="L130" s="1">
        <v>45536</v>
      </c>
      <c r="M130">
        <v>0.13580520199225199</v>
      </c>
      <c r="N130">
        <v>1.0984699882306799E-3</v>
      </c>
    </row>
    <row r="131" spans="1:14" x14ac:dyDescent="0.25">
      <c r="A131" t="s">
        <v>170</v>
      </c>
      <c r="B131">
        <v>9035</v>
      </c>
      <c r="C131">
        <v>1227</v>
      </c>
      <c r="D131">
        <v>14</v>
      </c>
      <c r="E131" t="s">
        <v>40</v>
      </c>
      <c r="F131" t="s">
        <v>44</v>
      </c>
      <c r="G131" t="s">
        <v>36</v>
      </c>
      <c r="H131" s="1">
        <v>44334</v>
      </c>
      <c r="I131" t="s">
        <v>172</v>
      </c>
      <c r="J131" t="s">
        <v>83</v>
      </c>
      <c r="K131" t="s">
        <v>98</v>
      </c>
      <c r="L131" s="1">
        <v>44317</v>
      </c>
      <c r="M131">
        <v>0.13580520199225199</v>
      </c>
      <c r="N131">
        <v>1.0984699882306799E-3</v>
      </c>
    </row>
    <row r="132" spans="1:14" x14ac:dyDescent="0.25">
      <c r="A132" t="s">
        <v>173</v>
      </c>
      <c r="B132">
        <v>2684</v>
      </c>
      <c r="C132">
        <v>670</v>
      </c>
      <c r="D132">
        <v>2</v>
      </c>
      <c r="E132" t="s">
        <v>28</v>
      </c>
      <c r="F132" t="s">
        <v>56</v>
      </c>
      <c r="G132" t="s">
        <v>57</v>
      </c>
      <c r="H132" s="1">
        <v>45475</v>
      </c>
      <c r="I132" t="s">
        <v>174</v>
      </c>
      <c r="J132" t="s">
        <v>18</v>
      </c>
      <c r="K132" t="s">
        <v>122</v>
      </c>
      <c r="L132" s="1">
        <v>45474</v>
      </c>
      <c r="M132">
        <v>0.249627421758569</v>
      </c>
      <c r="N132">
        <v>1.5692428403295399E-4</v>
      </c>
    </row>
    <row r="133" spans="1:14" x14ac:dyDescent="0.25">
      <c r="A133" t="s">
        <v>173</v>
      </c>
      <c r="B133">
        <v>822</v>
      </c>
      <c r="C133">
        <v>147</v>
      </c>
      <c r="D133">
        <v>5</v>
      </c>
      <c r="E133" t="s">
        <v>40</v>
      </c>
      <c r="F133" t="s">
        <v>52</v>
      </c>
      <c r="G133" t="s">
        <v>42</v>
      </c>
      <c r="H133" s="1">
        <v>45475</v>
      </c>
      <c r="I133" t="s">
        <v>174</v>
      </c>
      <c r="J133" t="s">
        <v>18</v>
      </c>
      <c r="K133" t="s">
        <v>122</v>
      </c>
      <c r="L133" s="1">
        <v>45474</v>
      </c>
      <c r="M133">
        <v>0.178832116788321</v>
      </c>
      <c r="N133">
        <v>3.9231071008238503E-4</v>
      </c>
    </row>
    <row r="134" spans="1:14" x14ac:dyDescent="0.25">
      <c r="A134" t="s">
        <v>173</v>
      </c>
      <c r="B134">
        <v>9730</v>
      </c>
      <c r="C134">
        <v>2341</v>
      </c>
      <c r="D134">
        <v>2</v>
      </c>
      <c r="E134" t="s">
        <v>40</v>
      </c>
      <c r="F134" t="s">
        <v>44</v>
      </c>
      <c r="G134" t="s">
        <v>36</v>
      </c>
      <c r="H134" s="1">
        <v>45475</v>
      </c>
      <c r="I134" t="s">
        <v>174</v>
      </c>
      <c r="J134" t="s">
        <v>18</v>
      </c>
      <c r="K134" t="s">
        <v>122</v>
      </c>
      <c r="L134" s="1">
        <v>45474</v>
      </c>
      <c r="M134">
        <v>0.24059609455292899</v>
      </c>
      <c r="N134">
        <v>1.5692428403295399E-4</v>
      </c>
    </row>
    <row r="135" spans="1:14" x14ac:dyDescent="0.25">
      <c r="A135" t="s">
        <v>173</v>
      </c>
      <c r="B135">
        <v>2483</v>
      </c>
      <c r="C135">
        <v>236</v>
      </c>
      <c r="D135">
        <v>2</v>
      </c>
      <c r="E135" t="s">
        <v>14</v>
      </c>
      <c r="F135" t="s">
        <v>15</v>
      </c>
      <c r="G135" t="s">
        <v>57</v>
      </c>
      <c r="H135" s="1">
        <v>45475</v>
      </c>
      <c r="I135" t="s">
        <v>174</v>
      </c>
      <c r="J135" t="s">
        <v>18</v>
      </c>
      <c r="K135" t="s">
        <v>122</v>
      </c>
      <c r="L135" s="1">
        <v>45474</v>
      </c>
      <c r="M135">
        <v>9.50463149416029E-2</v>
      </c>
      <c r="N135">
        <v>1.5692428403295399E-4</v>
      </c>
    </row>
    <row r="136" spans="1:14" x14ac:dyDescent="0.25">
      <c r="A136" t="s">
        <v>175</v>
      </c>
      <c r="B136">
        <v>1297</v>
      </c>
      <c r="C136">
        <v>600</v>
      </c>
      <c r="D136">
        <v>7</v>
      </c>
      <c r="E136" t="s">
        <v>28</v>
      </c>
      <c r="F136" t="s">
        <v>68</v>
      </c>
      <c r="G136" t="s">
        <v>42</v>
      </c>
      <c r="H136" s="1">
        <v>45338</v>
      </c>
      <c r="I136" t="s">
        <v>176</v>
      </c>
      <c r="J136" t="s">
        <v>18</v>
      </c>
      <c r="K136" t="s">
        <v>32</v>
      </c>
      <c r="L136" s="1">
        <v>45323</v>
      </c>
      <c r="M136">
        <v>0.46260601387818001</v>
      </c>
      <c r="N136">
        <v>5.4923499411533899E-4</v>
      </c>
    </row>
    <row r="137" spans="1:14" x14ac:dyDescent="0.25">
      <c r="A137" t="s">
        <v>175</v>
      </c>
      <c r="B137">
        <v>7909</v>
      </c>
      <c r="C137">
        <v>1942</v>
      </c>
      <c r="D137">
        <v>19</v>
      </c>
      <c r="E137" t="s">
        <v>14</v>
      </c>
      <c r="F137" t="s">
        <v>71</v>
      </c>
      <c r="G137" t="s">
        <v>57</v>
      </c>
      <c r="H137" s="1">
        <v>45338</v>
      </c>
      <c r="I137" t="s">
        <v>176</v>
      </c>
      <c r="J137" t="s">
        <v>18</v>
      </c>
      <c r="K137" t="s">
        <v>32</v>
      </c>
      <c r="L137" s="1">
        <v>45323</v>
      </c>
      <c r="M137">
        <v>0.245543052218991</v>
      </c>
      <c r="N137">
        <v>1.4907806983130601E-3</v>
      </c>
    </row>
    <row r="138" spans="1:14" x14ac:dyDescent="0.25">
      <c r="A138" t="s">
        <v>177</v>
      </c>
      <c r="B138">
        <v>9768</v>
      </c>
      <c r="C138">
        <v>4518</v>
      </c>
      <c r="D138">
        <v>8</v>
      </c>
      <c r="E138" t="s">
        <v>40</v>
      </c>
      <c r="F138" t="s">
        <v>41</v>
      </c>
      <c r="G138" t="s">
        <v>42</v>
      </c>
      <c r="H138" s="1">
        <v>44526</v>
      </c>
      <c r="I138" t="s">
        <v>178</v>
      </c>
      <c r="J138" t="s">
        <v>63</v>
      </c>
      <c r="K138" t="s">
        <v>64</v>
      </c>
      <c r="L138" s="1">
        <v>44501</v>
      </c>
      <c r="M138">
        <v>0.46253071253071298</v>
      </c>
      <c r="N138">
        <v>6.2769713613181597E-4</v>
      </c>
    </row>
    <row r="139" spans="1:14" x14ac:dyDescent="0.25">
      <c r="A139" t="s">
        <v>177</v>
      </c>
      <c r="B139">
        <v>4968</v>
      </c>
      <c r="C139">
        <v>934</v>
      </c>
      <c r="D139">
        <v>5</v>
      </c>
      <c r="E139" t="s">
        <v>40</v>
      </c>
      <c r="F139" t="s">
        <v>52</v>
      </c>
      <c r="G139" t="s">
        <v>30</v>
      </c>
      <c r="H139" s="1">
        <v>44526</v>
      </c>
      <c r="I139" t="s">
        <v>178</v>
      </c>
      <c r="J139" t="s">
        <v>63</v>
      </c>
      <c r="K139" t="s">
        <v>64</v>
      </c>
      <c r="L139" s="1">
        <v>44501</v>
      </c>
      <c r="M139">
        <v>0.18800322061191599</v>
      </c>
      <c r="N139">
        <v>3.9231071008238503E-4</v>
      </c>
    </row>
    <row r="140" spans="1:14" x14ac:dyDescent="0.25">
      <c r="A140" t="s">
        <v>177</v>
      </c>
      <c r="B140">
        <v>1731</v>
      </c>
      <c r="C140">
        <v>149</v>
      </c>
      <c r="D140">
        <v>4</v>
      </c>
      <c r="E140" t="s">
        <v>14</v>
      </c>
      <c r="F140" t="s">
        <v>35</v>
      </c>
      <c r="G140" t="s">
        <v>36</v>
      </c>
      <c r="H140" s="1">
        <v>44526</v>
      </c>
      <c r="I140" t="s">
        <v>178</v>
      </c>
      <c r="J140" t="s">
        <v>63</v>
      </c>
      <c r="K140" t="s">
        <v>64</v>
      </c>
      <c r="L140" s="1">
        <v>44501</v>
      </c>
      <c r="M140">
        <v>8.6077411900635503E-2</v>
      </c>
      <c r="N140">
        <v>3.1384856806590799E-4</v>
      </c>
    </row>
    <row r="141" spans="1:14" x14ac:dyDescent="0.25">
      <c r="A141" t="s">
        <v>179</v>
      </c>
      <c r="B141">
        <v>3433</v>
      </c>
      <c r="C141">
        <v>1169</v>
      </c>
      <c r="D141">
        <v>10</v>
      </c>
      <c r="E141" t="s">
        <v>28</v>
      </c>
      <c r="F141" t="s">
        <v>68</v>
      </c>
      <c r="G141" t="s">
        <v>57</v>
      </c>
      <c r="H141" s="1">
        <v>45323</v>
      </c>
      <c r="I141" t="s">
        <v>180</v>
      </c>
      <c r="J141" t="s">
        <v>38</v>
      </c>
      <c r="K141" t="s">
        <v>79</v>
      </c>
      <c r="L141" s="1">
        <v>45323</v>
      </c>
      <c r="M141">
        <v>0.34051849694145098</v>
      </c>
      <c r="N141">
        <v>7.8462142016477005E-4</v>
      </c>
    </row>
    <row r="142" spans="1:14" x14ac:dyDescent="0.25">
      <c r="A142" t="s">
        <v>179</v>
      </c>
      <c r="B142">
        <v>3433</v>
      </c>
      <c r="C142">
        <v>1169</v>
      </c>
      <c r="D142">
        <v>10</v>
      </c>
      <c r="E142" t="s">
        <v>28</v>
      </c>
      <c r="F142" t="s">
        <v>68</v>
      </c>
      <c r="G142" t="s">
        <v>57</v>
      </c>
      <c r="H142" s="1">
        <v>44448</v>
      </c>
      <c r="I142" t="s">
        <v>181</v>
      </c>
      <c r="J142" t="s">
        <v>21</v>
      </c>
      <c r="K142" t="s">
        <v>55</v>
      </c>
      <c r="L142" s="1">
        <v>44440</v>
      </c>
      <c r="M142">
        <v>0.34051849694145098</v>
      </c>
      <c r="N142">
        <v>7.8462142016477005E-4</v>
      </c>
    </row>
    <row r="143" spans="1:14" x14ac:dyDescent="0.25">
      <c r="A143" t="s">
        <v>179</v>
      </c>
      <c r="B143">
        <v>3433</v>
      </c>
      <c r="C143">
        <v>1169</v>
      </c>
      <c r="D143">
        <v>10</v>
      </c>
      <c r="E143" t="s">
        <v>28</v>
      </c>
      <c r="F143" t="s">
        <v>68</v>
      </c>
      <c r="G143" t="s">
        <v>57</v>
      </c>
      <c r="H143" s="1">
        <v>44447</v>
      </c>
      <c r="I143" t="s">
        <v>182</v>
      </c>
      <c r="J143" t="s">
        <v>38</v>
      </c>
      <c r="K143" t="s">
        <v>66</v>
      </c>
      <c r="L143" s="1">
        <v>44440</v>
      </c>
      <c r="M143">
        <v>0.34051849694145098</v>
      </c>
      <c r="N143">
        <v>7.8462142016477005E-4</v>
      </c>
    </row>
    <row r="144" spans="1:14" x14ac:dyDescent="0.25">
      <c r="A144" t="s">
        <v>179</v>
      </c>
      <c r="B144">
        <v>3887</v>
      </c>
      <c r="C144">
        <v>1490</v>
      </c>
      <c r="D144">
        <v>1</v>
      </c>
      <c r="E144" t="s">
        <v>28</v>
      </c>
      <c r="F144" t="s">
        <v>68</v>
      </c>
      <c r="G144" t="s">
        <v>30</v>
      </c>
      <c r="H144" s="1">
        <v>45323</v>
      </c>
      <c r="I144" t="s">
        <v>180</v>
      </c>
      <c r="J144" t="s">
        <v>38</v>
      </c>
      <c r="K144" t="s">
        <v>79</v>
      </c>
      <c r="L144" s="1">
        <v>45323</v>
      </c>
      <c r="M144">
        <v>0.38332904553640301</v>
      </c>
      <c r="N144">
        <v>7.8462142016476997E-5</v>
      </c>
    </row>
    <row r="145" spans="1:14" x14ac:dyDescent="0.25">
      <c r="A145" t="s">
        <v>179</v>
      </c>
      <c r="B145">
        <v>3887</v>
      </c>
      <c r="C145">
        <v>1490</v>
      </c>
      <c r="D145">
        <v>1</v>
      </c>
      <c r="E145" t="s">
        <v>28</v>
      </c>
      <c r="F145" t="s">
        <v>68</v>
      </c>
      <c r="G145" t="s">
        <v>30</v>
      </c>
      <c r="H145" s="1">
        <v>44448</v>
      </c>
      <c r="I145" t="s">
        <v>181</v>
      </c>
      <c r="J145" t="s">
        <v>21</v>
      </c>
      <c r="K145" t="s">
        <v>55</v>
      </c>
      <c r="L145" s="1">
        <v>44440</v>
      </c>
      <c r="M145">
        <v>0.38332904553640301</v>
      </c>
      <c r="N145">
        <v>7.8462142016476997E-5</v>
      </c>
    </row>
    <row r="146" spans="1:14" x14ac:dyDescent="0.25">
      <c r="A146" t="s">
        <v>179</v>
      </c>
      <c r="B146">
        <v>3887</v>
      </c>
      <c r="C146">
        <v>1490</v>
      </c>
      <c r="D146">
        <v>1</v>
      </c>
      <c r="E146" t="s">
        <v>28</v>
      </c>
      <c r="F146" t="s">
        <v>68</v>
      </c>
      <c r="G146" t="s">
        <v>30</v>
      </c>
      <c r="H146" s="1">
        <v>44447</v>
      </c>
      <c r="I146" t="s">
        <v>182</v>
      </c>
      <c r="J146" t="s">
        <v>38</v>
      </c>
      <c r="K146" t="s">
        <v>66</v>
      </c>
      <c r="L146" s="1">
        <v>44440</v>
      </c>
      <c r="M146">
        <v>0.38332904553640301</v>
      </c>
      <c r="N146">
        <v>7.8462142016476997E-5</v>
      </c>
    </row>
    <row r="147" spans="1:14" x14ac:dyDescent="0.25">
      <c r="A147" t="s">
        <v>183</v>
      </c>
      <c r="B147">
        <v>1801</v>
      </c>
      <c r="C147">
        <v>641</v>
      </c>
      <c r="D147">
        <v>20</v>
      </c>
      <c r="E147" t="s">
        <v>28</v>
      </c>
      <c r="F147" t="s">
        <v>50</v>
      </c>
      <c r="G147" t="s">
        <v>42</v>
      </c>
      <c r="H147" s="1">
        <v>45482</v>
      </c>
      <c r="I147" t="s">
        <v>184</v>
      </c>
      <c r="J147" t="s">
        <v>38</v>
      </c>
      <c r="K147" t="s">
        <v>39</v>
      </c>
      <c r="L147" s="1">
        <v>45474</v>
      </c>
      <c r="M147">
        <v>0.35591338145474699</v>
      </c>
      <c r="N147">
        <v>1.5692428403295401E-3</v>
      </c>
    </row>
    <row r="148" spans="1:14" x14ac:dyDescent="0.25">
      <c r="A148" t="s">
        <v>183</v>
      </c>
      <c r="B148">
        <v>5301</v>
      </c>
      <c r="C148">
        <v>817</v>
      </c>
      <c r="D148">
        <v>10</v>
      </c>
      <c r="E148" t="s">
        <v>40</v>
      </c>
      <c r="F148" t="s">
        <v>41</v>
      </c>
      <c r="G148" t="s">
        <v>30</v>
      </c>
      <c r="H148" s="1">
        <v>45482</v>
      </c>
      <c r="I148" t="s">
        <v>184</v>
      </c>
      <c r="J148" t="s">
        <v>38</v>
      </c>
      <c r="K148" t="s">
        <v>39</v>
      </c>
      <c r="L148" s="1">
        <v>45474</v>
      </c>
      <c r="M148">
        <v>0.154121863799283</v>
      </c>
      <c r="N148">
        <v>7.8462142016477005E-4</v>
      </c>
    </row>
    <row r="149" spans="1:14" x14ac:dyDescent="0.25">
      <c r="A149" t="s">
        <v>183</v>
      </c>
      <c r="B149">
        <v>1166</v>
      </c>
      <c r="C149">
        <v>520</v>
      </c>
      <c r="D149">
        <v>12</v>
      </c>
      <c r="E149" t="s">
        <v>28</v>
      </c>
      <c r="F149" t="s">
        <v>56</v>
      </c>
      <c r="G149" t="s">
        <v>30</v>
      </c>
      <c r="H149" s="1">
        <v>45482</v>
      </c>
      <c r="I149" t="s">
        <v>184</v>
      </c>
      <c r="J149" t="s">
        <v>38</v>
      </c>
      <c r="K149" t="s">
        <v>39</v>
      </c>
      <c r="L149" s="1">
        <v>45474</v>
      </c>
      <c r="M149">
        <v>0.44596912521440801</v>
      </c>
      <c r="N149">
        <v>9.4154570419772402E-4</v>
      </c>
    </row>
    <row r="150" spans="1:14" x14ac:dyDescent="0.25">
      <c r="A150" t="s">
        <v>183</v>
      </c>
      <c r="B150">
        <v>3196</v>
      </c>
      <c r="C150">
        <v>1411</v>
      </c>
      <c r="D150">
        <v>15</v>
      </c>
      <c r="E150" t="s">
        <v>28</v>
      </c>
      <c r="F150" t="s">
        <v>56</v>
      </c>
      <c r="G150" t="s">
        <v>30</v>
      </c>
      <c r="H150" s="1">
        <v>45482</v>
      </c>
      <c r="I150" t="s">
        <v>184</v>
      </c>
      <c r="J150" t="s">
        <v>38</v>
      </c>
      <c r="K150" t="s">
        <v>39</v>
      </c>
      <c r="L150" s="1">
        <v>45474</v>
      </c>
      <c r="M150">
        <v>0.44148936170212799</v>
      </c>
      <c r="N150">
        <v>1.17693213024716E-3</v>
      </c>
    </row>
    <row r="151" spans="1:14" x14ac:dyDescent="0.25">
      <c r="A151" t="s">
        <v>185</v>
      </c>
      <c r="B151">
        <v>3428</v>
      </c>
      <c r="C151">
        <v>350</v>
      </c>
      <c r="D151">
        <v>1</v>
      </c>
      <c r="E151" t="s">
        <v>40</v>
      </c>
      <c r="F151" t="s">
        <v>44</v>
      </c>
      <c r="G151" t="s">
        <v>42</v>
      </c>
      <c r="H151" s="1">
        <v>44985</v>
      </c>
      <c r="I151" t="s">
        <v>186</v>
      </c>
      <c r="J151" t="s">
        <v>21</v>
      </c>
      <c r="K151" t="s">
        <v>55</v>
      </c>
      <c r="L151" s="1">
        <v>44958</v>
      </c>
      <c r="M151">
        <v>0.102100350058343</v>
      </c>
      <c r="N151">
        <v>7.8462142016476997E-5</v>
      </c>
    </row>
    <row r="152" spans="1:14" x14ac:dyDescent="0.25">
      <c r="A152" t="s">
        <v>185</v>
      </c>
      <c r="B152">
        <v>7223</v>
      </c>
      <c r="C152">
        <v>2433</v>
      </c>
      <c r="D152">
        <v>12</v>
      </c>
      <c r="E152" t="s">
        <v>28</v>
      </c>
      <c r="F152" t="s">
        <v>68</v>
      </c>
      <c r="G152" t="s">
        <v>42</v>
      </c>
      <c r="H152" s="1">
        <v>44985</v>
      </c>
      <c r="I152" t="s">
        <v>186</v>
      </c>
      <c r="J152" t="s">
        <v>21</v>
      </c>
      <c r="K152" t="s">
        <v>55</v>
      </c>
      <c r="L152" s="1">
        <v>44958</v>
      </c>
      <c r="M152">
        <v>0.336840647930223</v>
      </c>
      <c r="N152">
        <v>9.4154570419772402E-4</v>
      </c>
    </row>
    <row r="153" spans="1:14" x14ac:dyDescent="0.25">
      <c r="A153" t="s">
        <v>185</v>
      </c>
      <c r="B153">
        <v>3731</v>
      </c>
      <c r="C153">
        <v>647</v>
      </c>
      <c r="D153">
        <v>1</v>
      </c>
      <c r="E153" t="s">
        <v>28</v>
      </c>
      <c r="F153" t="s">
        <v>29</v>
      </c>
      <c r="G153" t="s">
        <v>42</v>
      </c>
      <c r="H153" s="1">
        <v>44985</v>
      </c>
      <c r="I153" t="s">
        <v>186</v>
      </c>
      <c r="J153" t="s">
        <v>21</v>
      </c>
      <c r="K153" t="s">
        <v>55</v>
      </c>
      <c r="L153" s="1">
        <v>44958</v>
      </c>
      <c r="M153">
        <v>0.173411953899759</v>
      </c>
      <c r="N153">
        <v>7.8462142016476997E-5</v>
      </c>
    </row>
    <row r="154" spans="1:14" x14ac:dyDescent="0.25">
      <c r="A154" t="s">
        <v>187</v>
      </c>
      <c r="B154">
        <v>8903</v>
      </c>
      <c r="C154">
        <v>4401</v>
      </c>
      <c r="D154">
        <v>18</v>
      </c>
      <c r="E154" t="s">
        <v>28</v>
      </c>
      <c r="F154" t="s">
        <v>29</v>
      </c>
      <c r="G154" t="s">
        <v>42</v>
      </c>
      <c r="H154" s="1">
        <v>44781</v>
      </c>
      <c r="I154" t="s">
        <v>188</v>
      </c>
      <c r="J154" t="s">
        <v>83</v>
      </c>
      <c r="K154" t="s">
        <v>84</v>
      </c>
      <c r="L154" s="1">
        <v>44774</v>
      </c>
      <c r="M154">
        <v>0.49432775468943002</v>
      </c>
      <c r="N154">
        <v>1.41231855629659E-3</v>
      </c>
    </row>
    <row r="155" spans="1:14" x14ac:dyDescent="0.25">
      <c r="A155" t="s">
        <v>189</v>
      </c>
      <c r="B155">
        <v>6009</v>
      </c>
      <c r="C155">
        <v>2107</v>
      </c>
      <c r="D155">
        <v>7</v>
      </c>
      <c r="E155" t="s">
        <v>14</v>
      </c>
      <c r="F155" t="s">
        <v>71</v>
      </c>
      <c r="G155" t="s">
        <v>16</v>
      </c>
      <c r="H155" s="1">
        <v>44902</v>
      </c>
      <c r="I155" t="s">
        <v>190</v>
      </c>
      <c r="J155" t="s">
        <v>21</v>
      </c>
      <c r="K155" t="s">
        <v>22</v>
      </c>
      <c r="L155" s="1">
        <v>44896</v>
      </c>
      <c r="M155">
        <v>0.350640705608254</v>
      </c>
      <c r="N155">
        <v>5.4923499411533899E-4</v>
      </c>
    </row>
    <row r="156" spans="1:14" x14ac:dyDescent="0.25">
      <c r="A156" t="s">
        <v>189</v>
      </c>
      <c r="B156">
        <v>6009</v>
      </c>
      <c r="C156">
        <v>2107</v>
      </c>
      <c r="D156">
        <v>7</v>
      </c>
      <c r="E156" t="s">
        <v>14</v>
      </c>
      <c r="F156" t="s">
        <v>71</v>
      </c>
      <c r="G156" t="s">
        <v>16</v>
      </c>
      <c r="H156" s="1">
        <v>45411</v>
      </c>
      <c r="I156" t="s">
        <v>191</v>
      </c>
      <c r="J156" t="s">
        <v>63</v>
      </c>
      <c r="K156" t="s">
        <v>75</v>
      </c>
      <c r="L156" s="1">
        <v>45383</v>
      </c>
      <c r="M156">
        <v>0.350640705608254</v>
      </c>
      <c r="N156">
        <v>5.4923499411533899E-4</v>
      </c>
    </row>
    <row r="157" spans="1:14" x14ac:dyDescent="0.25">
      <c r="A157" t="s">
        <v>189</v>
      </c>
      <c r="B157">
        <v>2858</v>
      </c>
      <c r="C157">
        <v>230</v>
      </c>
      <c r="D157">
        <v>3</v>
      </c>
      <c r="E157" t="s">
        <v>40</v>
      </c>
      <c r="F157" t="s">
        <v>41</v>
      </c>
      <c r="G157" t="s">
        <v>42</v>
      </c>
      <c r="H157" s="1">
        <v>44902</v>
      </c>
      <c r="I157" t="s">
        <v>190</v>
      </c>
      <c r="J157" t="s">
        <v>21</v>
      </c>
      <c r="K157" t="s">
        <v>22</v>
      </c>
      <c r="L157" s="1">
        <v>44896</v>
      </c>
      <c r="M157">
        <v>8.0475857242827104E-2</v>
      </c>
      <c r="N157">
        <v>2.35386426049431E-4</v>
      </c>
    </row>
    <row r="158" spans="1:14" x14ac:dyDescent="0.25">
      <c r="A158" t="s">
        <v>189</v>
      </c>
      <c r="B158">
        <v>2858</v>
      </c>
      <c r="C158">
        <v>230</v>
      </c>
      <c r="D158">
        <v>3</v>
      </c>
      <c r="E158" t="s">
        <v>40</v>
      </c>
      <c r="F158" t="s">
        <v>41</v>
      </c>
      <c r="G158" t="s">
        <v>42</v>
      </c>
      <c r="H158" s="1">
        <v>45411</v>
      </c>
      <c r="I158" t="s">
        <v>191</v>
      </c>
      <c r="J158" t="s">
        <v>63</v>
      </c>
      <c r="K158" t="s">
        <v>75</v>
      </c>
      <c r="L158" s="1">
        <v>45383</v>
      </c>
      <c r="M158">
        <v>8.0475857242827104E-2</v>
      </c>
      <c r="N158">
        <v>2.35386426049431E-4</v>
      </c>
    </row>
    <row r="159" spans="1:14" x14ac:dyDescent="0.25">
      <c r="A159" t="s">
        <v>189</v>
      </c>
      <c r="B159">
        <v>8175</v>
      </c>
      <c r="C159">
        <v>525</v>
      </c>
      <c r="D159">
        <v>7</v>
      </c>
      <c r="E159" t="s">
        <v>40</v>
      </c>
      <c r="F159" t="s">
        <v>52</v>
      </c>
      <c r="G159" t="s">
        <v>42</v>
      </c>
      <c r="H159" s="1">
        <v>44902</v>
      </c>
      <c r="I159" t="s">
        <v>190</v>
      </c>
      <c r="J159" t="s">
        <v>21</v>
      </c>
      <c r="K159" t="s">
        <v>22</v>
      </c>
      <c r="L159" s="1">
        <v>44896</v>
      </c>
      <c r="M159">
        <v>6.4220183486238494E-2</v>
      </c>
      <c r="N159">
        <v>5.4923499411533899E-4</v>
      </c>
    </row>
    <row r="160" spans="1:14" x14ac:dyDescent="0.25">
      <c r="A160" t="s">
        <v>189</v>
      </c>
      <c r="B160">
        <v>8175</v>
      </c>
      <c r="C160">
        <v>525</v>
      </c>
      <c r="D160">
        <v>7</v>
      </c>
      <c r="E160" t="s">
        <v>40</v>
      </c>
      <c r="F160" t="s">
        <v>52</v>
      </c>
      <c r="G160" t="s">
        <v>42</v>
      </c>
      <c r="H160" s="1">
        <v>45411</v>
      </c>
      <c r="I160" t="s">
        <v>191</v>
      </c>
      <c r="J160" t="s">
        <v>63</v>
      </c>
      <c r="K160" t="s">
        <v>75</v>
      </c>
      <c r="L160" s="1">
        <v>45383</v>
      </c>
      <c r="M160">
        <v>6.4220183486238494E-2</v>
      </c>
      <c r="N160">
        <v>5.4923499411533899E-4</v>
      </c>
    </row>
    <row r="161" spans="1:14" x14ac:dyDescent="0.25">
      <c r="A161" t="s">
        <v>189</v>
      </c>
      <c r="B161">
        <v>5846</v>
      </c>
      <c r="C161">
        <v>586</v>
      </c>
      <c r="D161">
        <v>18</v>
      </c>
      <c r="E161" t="s">
        <v>40</v>
      </c>
      <c r="F161" t="s">
        <v>52</v>
      </c>
      <c r="G161" t="s">
        <v>16</v>
      </c>
      <c r="H161" s="1">
        <v>44902</v>
      </c>
      <c r="I161" t="s">
        <v>190</v>
      </c>
      <c r="J161" t="s">
        <v>21</v>
      </c>
      <c r="K161" t="s">
        <v>22</v>
      </c>
      <c r="L161" s="1">
        <v>44896</v>
      </c>
      <c r="M161">
        <v>0.10023947998631499</v>
      </c>
      <c r="N161">
        <v>1.41231855629659E-3</v>
      </c>
    </row>
    <row r="162" spans="1:14" x14ac:dyDescent="0.25">
      <c r="A162" t="s">
        <v>189</v>
      </c>
      <c r="B162">
        <v>5846</v>
      </c>
      <c r="C162">
        <v>586</v>
      </c>
      <c r="D162">
        <v>18</v>
      </c>
      <c r="E162" t="s">
        <v>40</v>
      </c>
      <c r="F162" t="s">
        <v>52</v>
      </c>
      <c r="G162" t="s">
        <v>16</v>
      </c>
      <c r="H162" s="1">
        <v>45411</v>
      </c>
      <c r="I162" t="s">
        <v>191</v>
      </c>
      <c r="J162" t="s">
        <v>63</v>
      </c>
      <c r="K162" t="s">
        <v>75</v>
      </c>
      <c r="L162" s="1">
        <v>45383</v>
      </c>
      <c r="M162">
        <v>0.10023947998631499</v>
      </c>
      <c r="N162">
        <v>1.41231855629659E-3</v>
      </c>
    </row>
    <row r="163" spans="1:14" x14ac:dyDescent="0.25">
      <c r="A163" t="s">
        <v>192</v>
      </c>
      <c r="B163">
        <v>706</v>
      </c>
      <c r="C163">
        <v>197</v>
      </c>
      <c r="D163">
        <v>11</v>
      </c>
      <c r="E163" t="s">
        <v>14</v>
      </c>
      <c r="F163" t="s">
        <v>35</v>
      </c>
      <c r="G163" t="s">
        <v>42</v>
      </c>
      <c r="H163" s="1">
        <v>44563</v>
      </c>
      <c r="I163" t="s">
        <v>193</v>
      </c>
      <c r="J163" t="s">
        <v>63</v>
      </c>
      <c r="K163" t="s">
        <v>75</v>
      </c>
      <c r="L163" s="1">
        <v>44562</v>
      </c>
      <c r="M163">
        <v>0.27903682719546702</v>
      </c>
      <c r="N163">
        <v>8.6308356218124801E-4</v>
      </c>
    </row>
    <row r="164" spans="1:14" x14ac:dyDescent="0.25">
      <c r="A164" t="s">
        <v>194</v>
      </c>
      <c r="B164">
        <v>9835</v>
      </c>
      <c r="C164">
        <v>2571</v>
      </c>
      <c r="D164">
        <v>16</v>
      </c>
      <c r="E164" t="s">
        <v>40</v>
      </c>
      <c r="F164" t="s">
        <v>41</v>
      </c>
      <c r="G164" t="s">
        <v>57</v>
      </c>
      <c r="H164" s="1">
        <v>44722</v>
      </c>
      <c r="I164" t="s">
        <v>195</v>
      </c>
      <c r="J164" t="s">
        <v>63</v>
      </c>
      <c r="K164" t="s">
        <v>64</v>
      </c>
      <c r="L164" s="1">
        <v>44713</v>
      </c>
      <c r="M164">
        <v>0.26141331977630899</v>
      </c>
      <c r="N164">
        <v>1.25539427226363E-3</v>
      </c>
    </row>
    <row r="165" spans="1:14" x14ac:dyDescent="0.25">
      <c r="A165" t="s">
        <v>194</v>
      </c>
      <c r="B165">
        <v>9835</v>
      </c>
      <c r="C165">
        <v>2571</v>
      </c>
      <c r="D165">
        <v>16</v>
      </c>
      <c r="E165" t="s">
        <v>40</v>
      </c>
      <c r="F165" t="s">
        <v>41</v>
      </c>
      <c r="G165" t="s">
        <v>57</v>
      </c>
      <c r="H165" s="1">
        <v>44516</v>
      </c>
      <c r="I165" t="s">
        <v>196</v>
      </c>
      <c r="J165" t="s">
        <v>18</v>
      </c>
      <c r="K165" t="s">
        <v>32</v>
      </c>
      <c r="L165" s="1">
        <v>44501</v>
      </c>
      <c r="M165">
        <v>0.26141331977630899</v>
      </c>
      <c r="N165">
        <v>1.25539427226363E-3</v>
      </c>
    </row>
    <row r="166" spans="1:14" x14ac:dyDescent="0.25">
      <c r="A166" t="s">
        <v>194</v>
      </c>
      <c r="B166">
        <v>9835</v>
      </c>
      <c r="C166">
        <v>2571</v>
      </c>
      <c r="D166">
        <v>16</v>
      </c>
      <c r="E166" t="s">
        <v>40</v>
      </c>
      <c r="F166" t="s">
        <v>41</v>
      </c>
      <c r="G166" t="s">
        <v>57</v>
      </c>
      <c r="H166" s="1">
        <v>44790</v>
      </c>
      <c r="I166" t="s">
        <v>197</v>
      </c>
      <c r="J166" t="s">
        <v>38</v>
      </c>
      <c r="K166" t="s">
        <v>39</v>
      </c>
      <c r="L166" s="1">
        <v>44774</v>
      </c>
      <c r="M166">
        <v>0.26141331977630899</v>
      </c>
      <c r="N166">
        <v>1.25539427226363E-3</v>
      </c>
    </row>
    <row r="167" spans="1:14" x14ac:dyDescent="0.25">
      <c r="A167" t="s">
        <v>194</v>
      </c>
      <c r="B167">
        <v>9691</v>
      </c>
      <c r="C167">
        <v>3056</v>
      </c>
      <c r="D167">
        <v>13</v>
      </c>
      <c r="E167" t="s">
        <v>28</v>
      </c>
      <c r="F167" t="s">
        <v>50</v>
      </c>
      <c r="G167" t="s">
        <v>42</v>
      </c>
      <c r="H167" s="1">
        <v>44722</v>
      </c>
      <c r="I167" t="s">
        <v>195</v>
      </c>
      <c r="J167" t="s">
        <v>63</v>
      </c>
      <c r="K167" t="s">
        <v>64</v>
      </c>
      <c r="L167" s="1">
        <v>44713</v>
      </c>
      <c r="M167">
        <v>0.315344133732329</v>
      </c>
      <c r="N167">
        <v>1.0200078462141999E-3</v>
      </c>
    </row>
    <row r="168" spans="1:14" x14ac:dyDescent="0.25">
      <c r="A168" t="s">
        <v>194</v>
      </c>
      <c r="B168">
        <v>9691</v>
      </c>
      <c r="C168">
        <v>3056</v>
      </c>
      <c r="D168">
        <v>13</v>
      </c>
      <c r="E168" t="s">
        <v>28</v>
      </c>
      <c r="F168" t="s">
        <v>50</v>
      </c>
      <c r="G168" t="s">
        <v>42</v>
      </c>
      <c r="H168" s="1">
        <v>44516</v>
      </c>
      <c r="I168" t="s">
        <v>196</v>
      </c>
      <c r="J168" t="s">
        <v>18</v>
      </c>
      <c r="K168" t="s">
        <v>32</v>
      </c>
      <c r="L168" s="1">
        <v>44501</v>
      </c>
      <c r="M168">
        <v>0.315344133732329</v>
      </c>
      <c r="N168">
        <v>1.0200078462141999E-3</v>
      </c>
    </row>
    <row r="169" spans="1:14" x14ac:dyDescent="0.25">
      <c r="A169" t="s">
        <v>194</v>
      </c>
      <c r="B169">
        <v>9691</v>
      </c>
      <c r="C169">
        <v>3056</v>
      </c>
      <c r="D169">
        <v>13</v>
      </c>
      <c r="E169" t="s">
        <v>28</v>
      </c>
      <c r="F169" t="s">
        <v>50</v>
      </c>
      <c r="G169" t="s">
        <v>42</v>
      </c>
      <c r="H169" s="1">
        <v>44790</v>
      </c>
      <c r="I169" t="s">
        <v>197</v>
      </c>
      <c r="J169" t="s">
        <v>38</v>
      </c>
      <c r="K169" t="s">
        <v>39</v>
      </c>
      <c r="L169" s="1">
        <v>44774</v>
      </c>
      <c r="M169">
        <v>0.315344133732329</v>
      </c>
      <c r="N169">
        <v>1.0200078462141999E-3</v>
      </c>
    </row>
    <row r="170" spans="1:14" x14ac:dyDescent="0.25">
      <c r="A170" t="s">
        <v>194</v>
      </c>
      <c r="B170">
        <v>7826</v>
      </c>
      <c r="C170">
        <v>1221</v>
      </c>
      <c r="D170">
        <v>14</v>
      </c>
      <c r="E170" t="s">
        <v>40</v>
      </c>
      <c r="F170" t="s">
        <v>91</v>
      </c>
      <c r="G170" t="s">
        <v>16</v>
      </c>
      <c r="H170" s="1">
        <v>44722</v>
      </c>
      <c r="I170" t="s">
        <v>195</v>
      </c>
      <c r="J170" t="s">
        <v>63</v>
      </c>
      <c r="K170" t="s">
        <v>64</v>
      </c>
      <c r="L170" s="1">
        <v>44713</v>
      </c>
      <c r="M170">
        <v>0.15601840020444699</v>
      </c>
      <c r="N170">
        <v>1.0984699882306799E-3</v>
      </c>
    </row>
    <row r="171" spans="1:14" x14ac:dyDescent="0.25">
      <c r="A171" t="s">
        <v>194</v>
      </c>
      <c r="B171">
        <v>7826</v>
      </c>
      <c r="C171">
        <v>1221</v>
      </c>
      <c r="D171">
        <v>14</v>
      </c>
      <c r="E171" t="s">
        <v>40</v>
      </c>
      <c r="F171" t="s">
        <v>91</v>
      </c>
      <c r="G171" t="s">
        <v>16</v>
      </c>
      <c r="H171" s="1">
        <v>44516</v>
      </c>
      <c r="I171" t="s">
        <v>196</v>
      </c>
      <c r="J171" t="s">
        <v>18</v>
      </c>
      <c r="K171" t="s">
        <v>32</v>
      </c>
      <c r="L171" s="1">
        <v>44501</v>
      </c>
      <c r="M171">
        <v>0.15601840020444699</v>
      </c>
      <c r="N171">
        <v>1.0984699882306799E-3</v>
      </c>
    </row>
    <row r="172" spans="1:14" x14ac:dyDescent="0.25">
      <c r="A172" t="s">
        <v>194</v>
      </c>
      <c r="B172">
        <v>7826</v>
      </c>
      <c r="C172">
        <v>1221</v>
      </c>
      <c r="D172">
        <v>14</v>
      </c>
      <c r="E172" t="s">
        <v>40</v>
      </c>
      <c r="F172" t="s">
        <v>91</v>
      </c>
      <c r="G172" t="s">
        <v>16</v>
      </c>
      <c r="H172" s="1">
        <v>44790</v>
      </c>
      <c r="I172" t="s">
        <v>197</v>
      </c>
      <c r="J172" t="s">
        <v>38</v>
      </c>
      <c r="K172" t="s">
        <v>39</v>
      </c>
      <c r="L172" s="1">
        <v>44774</v>
      </c>
      <c r="M172">
        <v>0.15601840020444699</v>
      </c>
      <c r="N172">
        <v>1.0984699882306799E-3</v>
      </c>
    </row>
    <row r="173" spans="1:14" x14ac:dyDescent="0.25">
      <c r="A173" t="s">
        <v>198</v>
      </c>
      <c r="B173">
        <v>770</v>
      </c>
      <c r="C173">
        <v>241</v>
      </c>
      <c r="D173">
        <v>11</v>
      </c>
      <c r="E173" t="s">
        <v>40</v>
      </c>
      <c r="F173" t="s">
        <v>52</v>
      </c>
      <c r="G173" t="s">
        <v>57</v>
      </c>
      <c r="H173" s="1">
        <v>44523</v>
      </c>
      <c r="I173" t="s">
        <v>199</v>
      </c>
      <c r="J173" t="s">
        <v>63</v>
      </c>
      <c r="K173" t="s">
        <v>75</v>
      </c>
      <c r="L173" s="1">
        <v>44501</v>
      </c>
      <c r="M173">
        <v>0.31298701298701298</v>
      </c>
      <c r="N173">
        <v>8.6308356218124801E-4</v>
      </c>
    </row>
    <row r="174" spans="1:14" x14ac:dyDescent="0.25">
      <c r="A174" t="s">
        <v>198</v>
      </c>
      <c r="B174">
        <v>770</v>
      </c>
      <c r="C174">
        <v>241</v>
      </c>
      <c r="D174">
        <v>11</v>
      </c>
      <c r="E174" t="s">
        <v>40</v>
      </c>
      <c r="F174" t="s">
        <v>52</v>
      </c>
      <c r="G174" t="s">
        <v>57</v>
      </c>
      <c r="H174" s="1">
        <v>44989</v>
      </c>
      <c r="I174" t="s">
        <v>200</v>
      </c>
      <c r="J174" t="s">
        <v>83</v>
      </c>
      <c r="K174" t="s">
        <v>90</v>
      </c>
      <c r="L174" s="1">
        <v>44986</v>
      </c>
      <c r="M174">
        <v>0.31298701298701298</v>
      </c>
      <c r="N174">
        <v>8.6308356218124801E-4</v>
      </c>
    </row>
    <row r="175" spans="1:14" x14ac:dyDescent="0.25">
      <c r="A175" t="s">
        <v>201</v>
      </c>
      <c r="B175">
        <v>9895</v>
      </c>
      <c r="C175">
        <v>1598</v>
      </c>
      <c r="D175">
        <v>20</v>
      </c>
      <c r="E175" t="s">
        <v>40</v>
      </c>
      <c r="F175" t="s">
        <v>91</v>
      </c>
      <c r="G175" t="s">
        <v>57</v>
      </c>
      <c r="H175" s="1">
        <v>45276</v>
      </c>
      <c r="I175" t="s">
        <v>202</v>
      </c>
      <c r="J175" t="s">
        <v>24</v>
      </c>
      <c r="K175" t="s">
        <v>60</v>
      </c>
      <c r="L175" s="1">
        <v>45261</v>
      </c>
      <c r="M175">
        <v>0.161495704901465</v>
      </c>
      <c r="N175">
        <v>1.5692428403295401E-3</v>
      </c>
    </row>
    <row r="176" spans="1:14" x14ac:dyDescent="0.25">
      <c r="A176" t="s">
        <v>203</v>
      </c>
      <c r="B176">
        <v>6517</v>
      </c>
      <c r="C176">
        <v>1581</v>
      </c>
      <c r="D176">
        <v>10</v>
      </c>
      <c r="E176" t="s">
        <v>28</v>
      </c>
      <c r="F176" t="s">
        <v>56</v>
      </c>
      <c r="G176" t="s">
        <v>30</v>
      </c>
      <c r="H176" s="1">
        <v>45431</v>
      </c>
      <c r="I176" t="s">
        <v>204</v>
      </c>
      <c r="J176" t="s">
        <v>18</v>
      </c>
      <c r="K176" t="s">
        <v>19</v>
      </c>
      <c r="L176" s="1">
        <v>45413</v>
      </c>
      <c r="M176">
        <v>0.242596286634955</v>
      </c>
      <c r="N176">
        <v>7.8462142016477005E-4</v>
      </c>
    </row>
    <row r="177" spans="1:14" x14ac:dyDescent="0.25">
      <c r="A177" t="s">
        <v>203</v>
      </c>
      <c r="B177">
        <v>6517</v>
      </c>
      <c r="C177">
        <v>1581</v>
      </c>
      <c r="D177">
        <v>10</v>
      </c>
      <c r="E177" t="s">
        <v>28</v>
      </c>
      <c r="F177" t="s">
        <v>56</v>
      </c>
      <c r="G177" t="s">
        <v>30</v>
      </c>
      <c r="H177" s="1">
        <v>43965</v>
      </c>
      <c r="I177" t="s">
        <v>205</v>
      </c>
      <c r="J177" t="s">
        <v>18</v>
      </c>
      <c r="K177" t="s">
        <v>122</v>
      </c>
      <c r="L177" s="1">
        <v>43952</v>
      </c>
      <c r="M177">
        <v>0.242596286634955</v>
      </c>
      <c r="N177">
        <v>7.8462142016477005E-4</v>
      </c>
    </row>
    <row r="178" spans="1:14" x14ac:dyDescent="0.25">
      <c r="A178" t="s">
        <v>203</v>
      </c>
      <c r="B178">
        <v>1166</v>
      </c>
      <c r="C178">
        <v>349</v>
      </c>
      <c r="D178">
        <v>11</v>
      </c>
      <c r="E178" t="s">
        <v>40</v>
      </c>
      <c r="F178" t="s">
        <v>41</v>
      </c>
      <c r="G178" t="s">
        <v>42</v>
      </c>
      <c r="H178" s="1">
        <v>45431</v>
      </c>
      <c r="I178" t="s">
        <v>204</v>
      </c>
      <c r="J178" t="s">
        <v>18</v>
      </c>
      <c r="K178" t="s">
        <v>19</v>
      </c>
      <c r="L178" s="1">
        <v>45413</v>
      </c>
      <c r="M178">
        <v>0.29931389365351602</v>
      </c>
      <c r="N178">
        <v>8.6308356218124801E-4</v>
      </c>
    </row>
    <row r="179" spans="1:14" x14ac:dyDescent="0.25">
      <c r="A179" t="s">
        <v>203</v>
      </c>
      <c r="B179">
        <v>1166</v>
      </c>
      <c r="C179">
        <v>349</v>
      </c>
      <c r="D179">
        <v>11</v>
      </c>
      <c r="E179" t="s">
        <v>40</v>
      </c>
      <c r="F179" t="s">
        <v>41</v>
      </c>
      <c r="G179" t="s">
        <v>42</v>
      </c>
      <c r="H179" s="1">
        <v>43965</v>
      </c>
      <c r="I179" t="s">
        <v>205</v>
      </c>
      <c r="J179" t="s">
        <v>18</v>
      </c>
      <c r="K179" t="s">
        <v>122</v>
      </c>
      <c r="L179" s="1">
        <v>43952</v>
      </c>
      <c r="M179">
        <v>0.29931389365351602</v>
      </c>
      <c r="N179">
        <v>8.6308356218124801E-4</v>
      </c>
    </row>
    <row r="180" spans="1:14" x14ac:dyDescent="0.25">
      <c r="A180" t="s">
        <v>206</v>
      </c>
      <c r="B180">
        <v>9820</v>
      </c>
      <c r="C180">
        <v>793</v>
      </c>
      <c r="D180">
        <v>16</v>
      </c>
      <c r="E180" t="s">
        <v>40</v>
      </c>
      <c r="F180" t="s">
        <v>44</v>
      </c>
      <c r="G180" t="s">
        <v>42</v>
      </c>
      <c r="H180" s="1">
        <v>44437</v>
      </c>
      <c r="I180" t="s">
        <v>207</v>
      </c>
      <c r="J180" t="s">
        <v>24</v>
      </c>
      <c r="K180" t="s">
        <v>25</v>
      </c>
      <c r="L180" s="1">
        <v>44409</v>
      </c>
      <c r="M180">
        <v>8.0753564154786198E-2</v>
      </c>
      <c r="N180">
        <v>1.25539427226363E-3</v>
      </c>
    </row>
    <row r="181" spans="1:14" x14ac:dyDescent="0.25">
      <c r="A181" t="s">
        <v>208</v>
      </c>
      <c r="B181">
        <v>8563</v>
      </c>
      <c r="C181">
        <v>2624</v>
      </c>
      <c r="D181">
        <v>8</v>
      </c>
      <c r="E181" t="s">
        <v>28</v>
      </c>
      <c r="F181" t="s">
        <v>68</v>
      </c>
      <c r="G181" t="s">
        <v>57</v>
      </c>
      <c r="H181" s="1">
        <v>45606</v>
      </c>
      <c r="I181" t="s">
        <v>209</v>
      </c>
      <c r="J181" t="s">
        <v>63</v>
      </c>
      <c r="K181" t="s">
        <v>64</v>
      </c>
      <c r="L181" s="1">
        <v>45597</v>
      </c>
      <c r="M181">
        <v>0.30643466074973702</v>
      </c>
      <c r="N181">
        <v>6.2769713613181597E-4</v>
      </c>
    </row>
    <row r="182" spans="1:14" x14ac:dyDescent="0.25">
      <c r="A182" t="s">
        <v>208</v>
      </c>
      <c r="B182">
        <v>4441</v>
      </c>
      <c r="C182">
        <v>281</v>
      </c>
      <c r="D182">
        <v>20</v>
      </c>
      <c r="E182" t="s">
        <v>14</v>
      </c>
      <c r="F182" t="s">
        <v>26</v>
      </c>
      <c r="G182" t="s">
        <v>57</v>
      </c>
      <c r="H182" s="1">
        <v>45606</v>
      </c>
      <c r="I182" t="s">
        <v>209</v>
      </c>
      <c r="J182" t="s">
        <v>63</v>
      </c>
      <c r="K182" t="s">
        <v>64</v>
      </c>
      <c r="L182" s="1">
        <v>45597</v>
      </c>
      <c r="M182">
        <v>6.3274037378968695E-2</v>
      </c>
      <c r="N182">
        <v>1.5692428403295401E-3</v>
      </c>
    </row>
    <row r="183" spans="1:14" x14ac:dyDescent="0.25">
      <c r="A183" t="s">
        <v>210</v>
      </c>
      <c r="B183">
        <v>7340</v>
      </c>
      <c r="C183">
        <v>2271</v>
      </c>
      <c r="D183">
        <v>8</v>
      </c>
      <c r="E183" t="s">
        <v>28</v>
      </c>
      <c r="F183" t="s">
        <v>56</v>
      </c>
      <c r="G183" t="s">
        <v>36</v>
      </c>
      <c r="H183" s="1">
        <v>44535</v>
      </c>
      <c r="I183" t="s">
        <v>211</v>
      </c>
      <c r="J183" t="s">
        <v>18</v>
      </c>
      <c r="K183" t="s">
        <v>32</v>
      </c>
      <c r="L183" s="1">
        <v>44531</v>
      </c>
      <c r="M183">
        <v>0.309400544959128</v>
      </c>
      <c r="N183">
        <v>6.2769713613181597E-4</v>
      </c>
    </row>
    <row r="184" spans="1:14" x14ac:dyDescent="0.25">
      <c r="A184" t="s">
        <v>210</v>
      </c>
      <c r="B184">
        <v>5442</v>
      </c>
      <c r="C184">
        <v>1610</v>
      </c>
      <c r="D184">
        <v>1</v>
      </c>
      <c r="E184" t="s">
        <v>14</v>
      </c>
      <c r="F184" t="s">
        <v>71</v>
      </c>
      <c r="G184" t="s">
        <v>36</v>
      </c>
      <c r="H184" s="1">
        <v>44535</v>
      </c>
      <c r="I184" t="s">
        <v>211</v>
      </c>
      <c r="J184" t="s">
        <v>18</v>
      </c>
      <c r="K184" t="s">
        <v>32</v>
      </c>
      <c r="L184" s="1">
        <v>44531</v>
      </c>
      <c r="M184">
        <v>0.29584711503123801</v>
      </c>
      <c r="N184">
        <v>7.8462142016476997E-5</v>
      </c>
    </row>
    <row r="185" spans="1:14" x14ac:dyDescent="0.25">
      <c r="A185" t="s">
        <v>212</v>
      </c>
      <c r="B185">
        <v>1895</v>
      </c>
      <c r="C185">
        <v>391</v>
      </c>
      <c r="D185">
        <v>14</v>
      </c>
      <c r="E185" t="s">
        <v>40</v>
      </c>
      <c r="F185" t="s">
        <v>41</v>
      </c>
      <c r="G185" t="s">
        <v>16</v>
      </c>
      <c r="H185" s="1">
        <v>45478</v>
      </c>
      <c r="I185" t="s">
        <v>213</v>
      </c>
      <c r="J185" t="s">
        <v>18</v>
      </c>
      <c r="K185" t="s">
        <v>122</v>
      </c>
      <c r="L185" s="1">
        <v>45474</v>
      </c>
      <c r="M185">
        <v>0.20633245382585799</v>
      </c>
      <c r="N185">
        <v>1.0984699882306799E-3</v>
      </c>
    </row>
    <row r="186" spans="1:14" x14ac:dyDescent="0.25">
      <c r="A186" t="s">
        <v>212</v>
      </c>
      <c r="B186">
        <v>5323</v>
      </c>
      <c r="C186">
        <v>322</v>
      </c>
      <c r="D186">
        <v>13</v>
      </c>
      <c r="E186" t="s">
        <v>28</v>
      </c>
      <c r="F186" t="s">
        <v>68</v>
      </c>
      <c r="G186" t="s">
        <v>57</v>
      </c>
      <c r="H186" s="1">
        <v>45478</v>
      </c>
      <c r="I186" t="s">
        <v>213</v>
      </c>
      <c r="J186" t="s">
        <v>18</v>
      </c>
      <c r="K186" t="s">
        <v>122</v>
      </c>
      <c r="L186" s="1">
        <v>45474</v>
      </c>
      <c r="M186">
        <v>6.0492203644561302E-2</v>
      </c>
      <c r="N186">
        <v>1.0200078462141999E-3</v>
      </c>
    </row>
    <row r="187" spans="1:14" x14ac:dyDescent="0.25">
      <c r="A187" t="s">
        <v>214</v>
      </c>
      <c r="B187">
        <v>8850</v>
      </c>
      <c r="C187">
        <v>279</v>
      </c>
      <c r="D187">
        <v>13</v>
      </c>
      <c r="E187" t="s">
        <v>28</v>
      </c>
      <c r="F187" t="s">
        <v>50</v>
      </c>
      <c r="G187" t="s">
        <v>30</v>
      </c>
      <c r="H187" s="1">
        <v>45468</v>
      </c>
      <c r="I187" t="s">
        <v>215</v>
      </c>
      <c r="J187" t="s">
        <v>18</v>
      </c>
      <c r="K187" t="s">
        <v>19</v>
      </c>
      <c r="L187" s="1">
        <v>45444</v>
      </c>
      <c r="M187">
        <v>3.1525423728813597E-2</v>
      </c>
      <c r="N187">
        <v>1.0200078462141999E-3</v>
      </c>
    </row>
    <row r="188" spans="1:14" x14ac:dyDescent="0.25">
      <c r="A188" t="s">
        <v>214</v>
      </c>
      <c r="B188">
        <v>8667</v>
      </c>
      <c r="C188">
        <v>1266</v>
      </c>
      <c r="D188">
        <v>6</v>
      </c>
      <c r="E188" t="s">
        <v>28</v>
      </c>
      <c r="F188" t="s">
        <v>56</v>
      </c>
      <c r="G188" t="s">
        <v>30</v>
      </c>
      <c r="H188" s="1">
        <v>45468</v>
      </c>
      <c r="I188" t="s">
        <v>215</v>
      </c>
      <c r="J188" t="s">
        <v>18</v>
      </c>
      <c r="K188" t="s">
        <v>19</v>
      </c>
      <c r="L188" s="1">
        <v>45444</v>
      </c>
      <c r="M188">
        <v>0.14607130494980999</v>
      </c>
      <c r="N188">
        <v>4.7077285209886201E-4</v>
      </c>
    </row>
    <row r="189" spans="1:14" x14ac:dyDescent="0.25">
      <c r="A189" t="s">
        <v>216</v>
      </c>
      <c r="B189">
        <v>6903</v>
      </c>
      <c r="C189">
        <v>105</v>
      </c>
      <c r="D189">
        <v>1</v>
      </c>
      <c r="E189" t="s">
        <v>40</v>
      </c>
      <c r="F189" t="s">
        <v>41</v>
      </c>
      <c r="G189" t="s">
        <v>57</v>
      </c>
      <c r="H189" s="1">
        <v>45443</v>
      </c>
      <c r="I189" t="s">
        <v>217</v>
      </c>
      <c r="J189" t="s">
        <v>21</v>
      </c>
      <c r="K189" t="s">
        <v>22</v>
      </c>
      <c r="L189" s="1">
        <v>45413</v>
      </c>
      <c r="M189">
        <v>1.5210777922642299E-2</v>
      </c>
      <c r="N189">
        <v>7.8462142016476997E-5</v>
      </c>
    </row>
    <row r="190" spans="1:14" x14ac:dyDescent="0.25">
      <c r="A190" t="s">
        <v>216</v>
      </c>
      <c r="B190">
        <v>8793</v>
      </c>
      <c r="C190">
        <v>3010</v>
      </c>
      <c r="D190">
        <v>7</v>
      </c>
      <c r="E190" t="s">
        <v>28</v>
      </c>
      <c r="F190" t="s">
        <v>29</v>
      </c>
      <c r="G190" t="s">
        <v>57</v>
      </c>
      <c r="H190" s="1">
        <v>45443</v>
      </c>
      <c r="I190" t="s">
        <v>217</v>
      </c>
      <c r="J190" t="s">
        <v>21</v>
      </c>
      <c r="K190" t="s">
        <v>22</v>
      </c>
      <c r="L190" s="1">
        <v>45413</v>
      </c>
      <c r="M190">
        <v>0.34231775275787601</v>
      </c>
      <c r="N190">
        <v>5.4923499411533899E-4</v>
      </c>
    </row>
    <row r="191" spans="1:14" x14ac:dyDescent="0.25">
      <c r="A191" t="s">
        <v>218</v>
      </c>
      <c r="B191">
        <v>9883</v>
      </c>
      <c r="C191">
        <v>4812</v>
      </c>
      <c r="D191">
        <v>16</v>
      </c>
      <c r="E191" t="s">
        <v>28</v>
      </c>
      <c r="F191" t="s">
        <v>56</v>
      </c>
      <c r="G191" t="s">
        <v>16</v>
      </c>
      <c r="H191" s="1">
        <v>44124</v>
      </c>
      <c r="I191" t="s">
        <v>219</v>
      </c>
      <c r="J191" t="s">
        <v>24</v>
      </c>
      <c r="K191" t="s">
        <v>25</v>
      </c>
      <c r="L191" s="1">
        <v>44105</v>
      </c>
      <c r="M191">
        <v>0.48689669128807</v>
      </c>
      <c r="N191">
        <v>1.25539427226363E-3</v>
      </c>
    </row>
    <row r="192" spans="1:14" x14ac:dyDescent="0.25">
      <c r="A192" t="s">
        <v>218</v>
      </c>
      <c r="B192">
        <v>9883</v>
      </c>
      <c r="C192">
        <v>4812</v>
      </c>
      <c r="D192">
        <v>16</v>
      </c>
      <c r="E192" t="s">
        <v>28</v>
      </c>
      <c r="F192" t="s">
        <v>56</v>
      </c>
      <c r="G192" t="s">
        <v>16</v>
      </c>
      <c r="H192" s="1">
        <v>44784</v>
      </c>
      <c r="I192" t="s">
        <v>220</v>
      </c>
      <c r="J192" t="s">
        <v>18</v>
      </c>
      <c r="K192" t="s">
        <v>32</v>
      </c>
      <c r="L192" s="1">
        <v>44774</v>
      </c>
      <c r="M192">
        <v>0.48689669128807</v>
      </c>
      <c r="N192">
        <v>1.25539427226363E-3</v>
      </c>
    </row>
    <row r="193" spans="1:14" x14ac:dyDescent="0.25">
      <c r="A193" t="s">
        <v>218</v>
      </c>
      <c r="B193">
        <v>9883</v>
      </c>
      <c r="C193">
        <v>4812</v>
      </c>
      <c r="D193">
        <v>16</v>
      </c>
      <c r="E193" t="s">
        <v>28</v>
      </c>
      <c r="F193" t="s">
        <v>56</v>
      </c>
      <c r="G193" t="s">
        <v>16</v>
      </c>
      <c r="H193" s="1">
        <v>44486</v>
      </c>
      <c r="I193" t="s">
        <v>221</v>
      </c>
      <c r="J193" t="s">
        <v>21</v>
      </c>
      <c r="K193" t="s">
        <v>55</v>
      </c>
      <c r="L193" s="1">
        <v>44470</v>
      </c>
      <c r="M193">
        <v>0.48689669128807</v>
      </c>
      <c r="N193">
        <v>1.25539427226363E-3</v>
      </c>
    </row>
    <row r="194" spans="1:14" x14ac:dyDescent="0.25">
      <c r="A194" t="s">
        <v>218</v>
      </c>
      <c r="B194">
        <v>5210</v>
      </c>
      <c r="C194">
        <v>1185</v>
      </c>
      <c r="D194">
        <v>7</v>
      </c>
      <c r="E194" t="s">
        <v>28</v>
      </c>
      <c r="F194" t="s">
        <v>56</v>
      </c>
      <c r="G194" t="s">
        <v>16</v>
      </c>
      <c r="H194" s="1">
        <v>44124</v>
      </c>
      <c r="I194" t="s">
        <v>219</v>
      </c>
      <c r="J194" t="s">
        <v>24</v>
      </c>
      <c r="K194" t="s">
        <v>25</v>
      </c>
      <c r="L194" s="1">
        <v>44105</v>
      </c>
      <c r="M194">
        <v>0.22744721689059499</v>
      </c>
      <c r="N194">
        <v>5.4923499411533899E-4</v>
      </c>
    </row>
    <row r="195" spans="1:14" x14ac:dyDescent="0.25">
      <c r="A195" t="s">
        <v>218</v>
      </c>
      <c r="B195">
        <v>5210</v>
      </c>
      <c r="C195">
        <v>1185</v>
      </c>
      <c r="D195">
        <v>7</v>
      </c>
      <c r="E195" t="s">
        <v>28</v>
      </c>
      <c r="F195" t="s">
        <v>56</v>
      </c>
      <c r="G195" t="s">
        <v>16</v>
      </c>
      <c r="H195" s="1">
        <v>44784</v>
      </c>
      <c r="I195" t="s">
        <v>220</v>
      </c>
      <c r="J195" t="s">
        <v>18</v>
      </c>
      <c r="K195" t="s">
        <v>32</v>
      </c>
      <c r="L195" s="1">
        <v>44774</v>
      </c>
      <c r="M195">
        <v>0.22744721689059499</v>
      </c>
      <c r="N195">
        <v>5.4923499411533899E-4</v>
      </c>
    </row>
    <row r="196" spans="1:14" x14ac:dyDescent="0.25">
      <c r="A196" t="s">
        <v>218</v>
      </c>
      <c r="B196">
        <v>5210</v>
      </c>
      <c r="C196">
        <v>1185</v>
      </c>
      <c r="D196">
        <v>7</v>
      </c>
      <c r="E196" t="s">
        <v>28</v>
      </c>
      <c r="F196" t="s">
        <v>56</v>
      </c>
      <c r="G196" t="s">
        <v>16</v>
      </c>
      <c r="H196" s="1">
        <v>44486</v>
      </c>
      <c r="I196" t="s">
        <v>221</v>
      </c>
      <c r="J196" t="s">
        <v>21</v>
      </c>
      <c r="K196" t="s">
        <v>55</v>
      </c>
      <c r="L196" s="1">
        <v>44470</v>
      </c>
      <c r="M196">
        <v>0.22744721689059499</v>
      </c>
      <c r="N196">
        <v>5.4923499411533899E-4</v>
      </c>
    </row>
    <row r="197" spans="1:14" x14ac:dyDescent="0.25">
      <c r="A197" t="s">
        <v>222</v>
      </c>
      <c r="B197">
        <v>3574</v>
      </c>
      <c r="C197">
        <v>851</v>
      </c>
      <c r="D197">
        <v>4</v>
      </c>
      <c r="E197" t="s">
        <v>14</v>
      </c>
      <c r="F197" t="s">
        <v>26</v>
      </c>
      <c r="G197" t="s">
        <v>42</v>
      </c>
      <c r="H197" s="1">
        <v>44615</v>
      </c>
      <c r="I197" t="s">
        <v>223</v>
      </c>
      <c r="J197" t="s">
        <v>38</v>
      </c>
      <c r="K197" t="s">
        <v>39</v>
      </c>
      <c r="L197" s="1">
        <v>44593</v>
      </c>
      <c r="M197">
        <v>0.23810856183547799</v>
      </c>
      <c r="N197">
        <v>3.1384856806590799E-4</v>
      </c>
    </row>
    <row r="198" spans="1:14" x14ac:dyDescent="0.25">
      <c r="A198" t="s">
        <v>222</v>
      </c>
      <c r="B198">
        <v>576</v>
      </c>
      <c r="C198">
        <v>76</v>
      </c>
      <c r="D198">
        <v>13</v>
      </c>
      <c r="E198" t="s">
        <v>40</v>
      </c>
      <c r="F198" t="s">
        <v>52</v>
      </c>
      <c r="G198" t="s">
        <v>16</v>
      </c>
      <c r="H198" s="1">
        <v>44615</v>
      </c>
      <c r="I198" t="s">
        <v>223</v>
      </c>
      <c r="J198" t="s">
        <v>38</v>
      </c>
      <c r="K198" t="s">
        <v>39</v>
      </c>
      <c r="L198" s="1">
        <v>44593</v>
      </c>
      <c r="M198">
        <v>0.131944444444444</v>
      </c>
      <c r="N198">
        <v>1.0200078462141999E-3</v>
      </c>
    </row>
    <row r="199" spans="1:14" x14ac:dyDescent="0.25">
      <c r="A199" t="s">
        <v>224</v>
      </c>
      <c r="B199">
        <v>1860</v>
      </c>
      <c r="C199">
        <v>457</v>
      </c>
      <c r="D199">
        <v>13</v>
      </c>
      <c r="E199" t="s">
        <v>14</v>
      </c>
      <c r="F199" t="s">
        <v>26</v>
      </c>
      <c r="G199" t="s">
        <v>36</v>
      </c>
      <c r="H199" s="1">
        <v>45189</v>
      </c>
      <c r="I199" t="s">
        <v>225</v>
      </c>
      <c r="J199" t="s">
        <v>83</v>
      </c>
      <c r="K199" t="s">
        <v>98</v>
      </c>
      <c r="L199" s="1">
        <v>45170</v>
      </c>
      <c r="M199">
        <v>0.24569892473118299</v>
      </c>
      <c r="N199">
        <v>1.0200078462141999E-3</v>
      </c>
    </row>
    <row r="200" spans="1:14" x14ac:dyDescent="0.25">
      <c r="A200" t="s">
        <v>226</v>
      </c>
      <c r="B200">
        <v>782</v>
      </c>
      <c r="C200">
        <v>374</v>
      </c>
      <c r="D200">
        <v>8</v>
      </c>
      <c r="E200" t="s">
        <v>28</v>
      </c>
      <c r="F200" t="s">
        <v>29</v>
      </c>
      <c r="G200" t="s">
        <v>36</v>
      </c>
      <c r="H200" s="1">
        <v>44215</v>
      </c>
      <c r="I200" t="s">
        <v>227</v>
      </c>
      <c r="J200" t="s">
        <v>21</v>
      </c>
      <c r="K200" t="s">
        <v>138</v>
      </c>
      <c r="L200" s="1">
        <v>44197</v>
      </c>
      <c r="M200">
        <v>0.47826086956521702</v>
      </c>
      <c r="N200">
        <v>6.2769713613181597E-4</v>
      </c>
    </row>
    <row r="201" spans="1:14" x14ac:dyDescent="0.25">
      <c r="A201" t="s">
        <v>226</v>
      </c>
      <c r="B201">
        <v>4371</v>
      </c>
      <c r="C201">
        <v>1852</v>
      </c>
      <c r="D201">
        <v>1</v>
      </c>
      <c r="E201" t="s">
        <v>14</v>
      </c>
      <c r="F201" t="s">
        <v>35</v>
      </c>
      <c r="G201" t="s">
        <v>16</v>
      </c>
      <c r="H201" s="1">
        <v>44215</v>
      </c>
      <c r="I201" t="s">
        <v>227</v>
      </c>
      <c r="J201" t="s">
        <v>21</v>
      </c>
      <c r="K201" t="s">
        <v>138</v>
      </c>
      <c r="L201" s="1">
        <v>44197</v>
      </c>
      <c r="M201">
        <v>0.423701670098376</v>
      </c>
      <c r="N201">
        <v>7.8462142016476997E-5</v>
      </c>
    </row>
    <row r="202" spans="1:14" x14ac:dyDescent="0.25">
      <c r="A202" t="s">
        <v>228</v>
      </c>
      <c r="B202">
        <v>8346</v>
      </c>
      <c r="C202">
        <v>1176</v>
      </c>
      <c r="D202">
        <v>1</v>
      </c>
      <c r="E202" t="s">
        <v>14</v>
      </c>
      <c r="F202" t="s">
        <v>71</v>
      </c>
      <c r="G202" t="s">
        <v>57</v>
      </c>
      <c r="H202" s="1">
        <v>44064</v>
      </c>
      <c r="I202" t="s">
        <v>229</v>
      </c>
      <c r="J202" t="s">
        <v>63</v>
      </c>
      <c r="K202" t="s">
        <v>112</v>
      </c>
      <c r="L202" s="1">
        <v>44044</v>
      </c>
      <c r="M202">
        <v>0.140905823148814</v>
      </c>
      <c r="N202">
        <v>7.8462142016476997E-5</v>
      </c>
    </row>
    <row r="203" spans="1:14" x14ac:dyDescent="0.25">
      <c r="A203" t="s">
        <v>228</v>
      </c>
      <c r="B203">
        <v>8346</v>
      </c>
      <c r="C203">
        <v>1176</v>
      </c>
      <c r="D203">
        <v>1</v>
      </c>
      <c r="E203" t="s">
        <v>14</v>
      </c>
      <c r="F203" t="s">
        <v>71</v>
      </c>
      <c r="G203" t="s">
        <v>57</v>
      </c>
      <c r="H203" s="1">
        <v>45033</v>
      </c>
      <c r="I203" t="s">
        <v>230</v>
      </c>
      <c r="J203" t="s">
        <v>21</v>
      </c>
      <c r="K203" t="s">
        <v>22</v>
      </c>
      <c r="L203" s="1">
        <v>45017</v>
      </c>
      <c r="M203">
        <v>0.140905823148814</v>
      </c>
      <c r="N203">
        <v>7.8462142016476997E-5</v>
      </c>
    </row>
    <row r="204" spans="1:14" x14ac:dyDescent="0.25">
      <c r="A204" t="s">
        <v>228</v>
      </c>
      <c r="B204">
        <v>8346</v>
      </c>
      <c r="C204">
        <v>1176</v>
      </c>
      <c r="D204">
        <v>1</v>
      </c>
      <c r="E204" t="s">
        <v>14</v>
      </c>
      <c r="F204" t="s">
        <v>71</v>
      </c>
      <c r="G204" t="s">
        <v>57</v>
      </c>
      <c r="H204" s="1">
        <v>45284</v>
      </c>
      <c r="I204" t="s">
        <v>231</v>
      </c>
      <c r="J204" t="s">
        <v>38</v>
      </c>
      <c r="K204" t="s">
        <v>79</v>
      </c>
      <c r="L204" s="1">
        <v>45261</v>
      </c>
      <c r="M204">
        <v>0.140905823148814</v>
      </c>
      <c r="N204">
        <v>7.8462142016476997E-5</v>
      </c>
    </row>
    <row r="205" spans="1:14" x14ac:dyDescent="0.25">
      <c r="A205" t="s">
        <v>228</v>
      </c>
      <c r="B205">
        <v>6218</v>
      </c>
      <c r="C205">
        <v>1125</v>
      </c>
      <c r="D205">
        <v>5</v>
      </c>
      <c r="E205" t="s">
        <v>40</v>
      </c>
      <c r="F205" t="s">
        <v>41</v>
      </c>
      <c r="G205" t="s">
        <v>30</v>
      </c>
      <c r="H205" s="1">
        <v>44064</v>
      </c>
      <c r="I205" t="s">
        <v>229</v>
      </c>
      <c r="J205" t="s">
        <v>63</v>
      </c>
      <c r="K205" t="s">
        <v>112</v>
      </c>
      <c r="L205" s="1">
        <v>44044</v>
      </c>
      <c r="M205">
        <v>0.18092634287552301</v>
      </c>
      <c r="N205">
        <v>3.9231071008238503E-4</v>
      </c>
    </row>
    <row r="206" spans="1:14" x14ac:dyDescent="0.25">
      <c r="A206" t="s">
        <v>228</v>
      </c>
      <c r="B206">
        <v>6218</v>
      </c>
      <c r="C206">
        <v>1125</v>
      </c>
      <c r="D206">
        <v>5</v>
      </c>
      <c r="E206" t="s">
        <v>40</v>
      </c>
      <c r="F206" t="s">
        <v>41</v>
      </c>
      <c r="G206" t="s">
        <v>30</v>
      </c>
      <c r="H206" s="1">
        <v>45033</v>
      </c>
      <c r="I206" t="s">
        <v>230</v>
      </c>
      <c r="J206" t="s">
        <v>21</v>
      </c>
      <c r="K206" t="s">
        <v>22</v>
      </c>
      <c r="L206" s="1">
        <v>45017</v>
      </c>
      <c r="M206">
        <v>0.18092634287552301</v>
      </c>
      <c r="N206">
        <v>3.9231071008238503E-4</v>
      </c>
    </row>
    <row r="207" spans="1:14" x14ac:dyDescent="0.25">
      <c r="A207" t="s">
        <v>228</v>
      </c>
      <c r="B207">
        <v>6218</v>
      </c>
      <c r="C207">
        <v>1125</v>
      </c>
      <c r="D207">
        <v>5</v>
      </c>
      <c r="E207" t="s">
        <v>40</v>
      </c>
      <c r="F207" t="s">
        <v>41</v>
      </c>
      <c r="G207" t="s">
        <v>30</v>
      </c>
      <c r="H207" s="1">
        <v>45284</v>
      </c>
      <c r="I207" t="s">
        <v>231</v>
      </c>
      <c r="J207" t="s">
        <v>38</v>
      </c>
      <c r="K207" t="s">
        <v>79</v>
      </c>
      <c r="L207" s="1">
        <v>45261</v>
      </c>
      <c r="M207">
        <v>0.18092634287552301</v>
      </c>
      <c r="N207">
        <v>3.9231071008238503E-4</v>
      </c>
    </row>
    <row r="208" spans="1:14" x14ac:dyDescent="0.25">
      <c r="A208" t="s">
        <v>228</v>
      </c>
      <c r="B208">
        <v>5167</v>
      </c>
      <c r="C208">
        <v>253</v>
      </c>
      <c r="D208">
        <v>14</v>
      </c>
      <c r="E208" t="s">
        <v>14</v>
      </c>
      <c r="F208" t="s">
        <v>26</v>
      </c>
      <c r="G208" t="s">
        <v>42</v>
      </c>
      <c r="H208" s="1">
        <v>44064</v>
      </c>
      <c r="I208" t="s">
        <v>229</v>
      </c>
      <c r="J208" t="s">
        <v>63</v>
      </c>
      <c r="K208" t="s">
        <v>112</v>
      </c>
      <c r="L208" s="1">
        <v>44044</v>
      </c>
      <c r="M208">
        <v>4.8964582930133498E-2</v>
      </c>
      <c r="N208">
        <v>1.0984699882306799E-3</v>
      </c>
    </row>
    <row r="209" spans="1:14" x14ac:dyDescent="0.25">
      <c r="A209" t="s">
        <v>228</v>
      </c>
      <c r="B209">
        <v>5167</v>
      </c>
      <c r="C209">
        <v>253</v>
      </c>
      <c r="D209">
        <v>14</v>
      </c>
      <c r="E209" t="s">
        <v>14</v>
      </c>
      <c r="F209" t="s">
        <v>26</v>
      </c>
      <c r="G209" t="s">
        <v>42</v>
      </c>
      <c r="H209" s="1">
        <v>45033</v>
      </c>
      <c r="I209" t="s">
        <v>230</v>
      </c>
      <c r="J209" t="s">
        <v>21</v>
      </c>
      <c r="K209" t="s">
        <v>22</v>
      </c>
      <c r="L209" s="1">
        <v>45017</v>
      </c>
      <c r="M209">
        <v>4.8964582930133498E-2</v>
      </c>
      <c r="N209">
        <v>1.0984699882306799E-3</v>
      </c>
    </row>
    <row r="210" spans="1:14" x14ac:dyDescent="0.25">
      <c r="A210" t="s">
        <v>228</v>
      </c>
      <c r="B210">
        <v>5167</v>
      </c>
      <c r="C210">
        <v>253</v>
      </c>
      <c r="D210">
        <v>14</v>
      </c>
      <c r="E210" t="s">
        <v>14</v>
      </c>
      <c r="F210" t="s">
        <v>26</v>
      </c>
      <c r="G210" t="s">
        <v>42</v>
      </c>
      <c r="H210" s="1">
        <v>45284</v>
      </c>
      <c r="I210" t="s">
        <v>231</v>
      </c>
      <c r="J210" t="s">
        <v>38</v>
      </c>
      <c r="K210" t="s">
        <v>79</v>
      </c>
      <c r="L210" s="1">
        <v>45261</v>
      </c>
      <c r="M210">
        <v>4.8964582930133498E-2</v>
      </c>
      <c r="N210">
        <v>1.0984699882306799E-3</v>
      </c>
    </row>
    <row r="211" spans="1:14" x14ac:dyDescent="0.25">
      <c r="A211" t="s">
        <v>228</v>
      </c>
      <c r="B211">
        <v>2799</v>
      </c>
      <c r="C211">
        <v>1239</v>
      </c>
      <c r="D211">
        <v>5</v>
      </c>
      <c r="E211" t="s">
        <v>40</v>
      </c>
      <c r="F211" t="s">
        <v>52</v>
      </c>
      <c r="G211" t="s">
        <v>30</v>
      </c>
      <c r="H211" s="1">
        <v>44064</v>
      </c>
      <c r="I211" t="s">
        <v>229</v>
      </c>
      <c r="J211" t="s">
        <v>63</v>
      </c>
      <c r="K211" t="s">
        <v>112</v>
      </c>
      <c r="L211" s="1">
        <v>44044</v>
      </c>
      <c r="M211">
        <v>0.44265809217577701</v>
      </c>
      <c r="N211">
        <v>3.9231071008238503E-4</v>
      </c>
    </row>
    <row r="212" spans="1:14" x14ac:dyDescent="0.25">
      <c r="A212" t="s">
        <v>228</v>
      </c>
      <c r="B212">
        <v>2799</v>
      </c>
      <c r="C212">
        <v>1239</v>
      </c>
      <c r="D212">
        <v>5</v>
      </c>
      <c r="E212" t="s">
        <v>40</v>
      </c>
      <c r="F212" t="s">
        <v>52</v>
      </c>
      <c r="G212" t="s">
        <v>30</v>
      </c>
      <c r="H212" s="1">
        <v>45033</v>
      </c>
      <c r="I212" t="s">
        <v>230</v>
      </c>
      <c r="J212" t="s">
        <v>21</v>
      </c>
      <c r="K212" t="s">
        <v>22</v>
      </c>
      <c r="L212" s="1">
        <v>45017</v>
      </c>
      <c r="M212">
        <v>0.44265809217577701</v>
      </c>
      <c r="N212">
        <v>3.9231071008238503E-4</v>
      </c>
    </row>
    <row r="213" spans="1:14" x14ac:dyDescent="0.25">
      <c r="A213" t="s">
        <v>228</v>
      </c>
      <c r="B213">
        <v>2799</v>
      </c>
      <c r="C213">
        <v>1239</v>
      </c>
      <c r="D213">
        <v>5</v>
      </c>
      <c r="E213" t="s">
        <v>40</v>
      </c>
      <c r="F213" t="s">
        <v>52</v>
      </c>
      <c r="G213" t="s">
        <v>30</v>
      </c>
      <c r="H213" s="1">
        <v>45284</v>
      </c>
      <c r="I213" t="s">
        <v>231</v>
      </c>
      <c r="J213" t="s">
        <v>38</v>
      </c>
      <c r="K213" t="s">
        <v>79</v>
      </c>
      <c r="L213" s="1">
        <v>45261</v>
      </c>
      <c r="M213">
        <v>0.44265809217577701</v>
      </c>
      <c r="N213">
        <v>3.9231071008238503E-4</v>
      </c>
    </row>
    <row r="214" spans="1:14" x14ac:dyDescent="0.25">
      <c r="A214" t="s">
        <v>232</v>
      </c>
      <c r="B214">
        <v>3234</v>
      </c>
      <c r="C214">
        <v>1029</v>
      </c>
      <c r="D214">
        <v>20</v>
      </c>
      <c r="E214" t="s">
        <v>28</v>
      </c>
      <c r="F214" t="s">
        <v>50</v>
      </c>
      <c r="G214" t="s">
        <v>42</v>
      </c>
      <c r="H214" s="1">
        <v>44640</v>
      </c>
      <c r="I214" t="s">
        <v>233</v>
      </c>
      <c r="J214" t="s">
        <v>18</v>
      </c>
      <c r="K214" t="s">
        <v>19</v>
      </c>
      <c r="L214" s="1">
        <v>44621</v>
      </c>
      <c r="M214">
        <v>0.31818181818181801</v>
      </c>
      <c r="N214">
        <v>1.5692428403295401E-3</v>
      </c>
    </row>
    <row r="215" spans="1:14" x14ac:dyDescent="0.25">
      <c r="A215" t="s">
        <v>234</v>
      </c>
      <c r="B215">
        <v>4920</v>
      </c>
      <c r="C215">
        <v>775</v>
      </c>
      <c r="D215">
        <v>12</v>
      </c>
      <c r="E215" t="s">
        <v>40</v>
      </c>
      <c r="F215" t="s">
        <v>41</v>
      </c>
      <c r="G215" t="s">
        <v>30</v>
      </c>
      <c r="H215" s="1">
        <v>44420</v>
      </c>
      <c r="I215" t="s">
        <v>235</v>
      </c>
      <c r="J215" t="s">
        <v>21</v>
      </c>
      <c r="K215" t="s">
        <v>55</v>
      </c>
      <c r="L215" s="1">
        <v>44409</v>
      </c>
      <c r="M215">
        <v>0.15752032520325199</v>
      </c>
      <c r="N215">
        <v>9.4154570419772402E-4</v>
      </c>
    </row>
    <row r="216" spans="1:14" x14ac:dyDescent="0.25">
      <c r="A216" t="s">
        <v>234</v>
      </c>
      <c r="B216">
        <v>9078</v>
      </c>
      <c r="C216">
        <v>2213</v>
      </c>
      <c r="D216">
        <v>15</v>
      </c>
      <c r="E216" t="s">
        <v>40</v>
      </c>
      <c r="F216" t="s">
        <v>91</v>
      </c>
      <c r="G216" t="s">
        <v>36</v>
      </c>
      <c r="H216" s="1">
        <v>44420</v>
      </c>
      <c r="I216" t="s">
        <v>235</v>
      </c>
      <c r="J216" t="s">
        <v>21</v>
      </c>
      <c r="K216" t="s">
        <v>55</v>
      </c>
      <c r="L216" s="1">
        <v>44409</v>
      </c>
      <c r="M216">
        <v>0.243776162150253</v>
      </c>
      <c r="N216">
        <v>1.17693213024716E-3</v>
      </c>
    </row>
    <row r="217" spans="1:14" x14ac:dyDescent="0.25">
      <c r="A217" t="s">
        <v>236</v>
      </c>
      <c r="B217">
        <v>8586</v>
      </c>
      <c r="C217">
        <v>3826</v>
      </c>
      <c r="D217">
        <v>7</v>
      </c>
      <c r="E217" t="s">
        <v>40</v>
      </c>
      <c r="F217" t="s">
        <v>91</v>
      </c>
      <c r="G217" t="s">
        <v>16</v>
      </c>
      <c r="H217" s="1">
        <v>44186</v>
      </c>
      <c r="I217" t="s">
        <v>237</v>
      </c>
      <c r="J217" t="s">
        <v>18</v>
      </c>
      <c r="K217" t="s">
        <v>19</v>
      </c>
      <c r="L217" s="1">
        <v>44166</v>
      </c>
      <c r="M217">
        <v>0.44560913114372203</v>
      </c>
      <c r="N217">
        <v>5.4923499411533899E-4</v>
      </c>
    </row>
    <row r="218" spans="1:14" x14ac:dyDescent="0.25">
      <c r="A218" t="s">
        <v>236</v>
      </c>
      <c r="B218">
        <v>8586</v>
      </c>
      <c r="C218">
        <v>3826</v>
      </c>
      <c r="D218">
        <v>7</v>
      </c>
      <c r="E218" t="s">
        <v>40</v>
      </c>
      <c r="F218" t="s">
        <v>91</v>
      </c>
      <c r="G218" t="s">
        <v>16</v>
      </c>
      <c r="H218" s="1">
        <v>45114</v>
      </c>
      <c r="I218" t="s">
        <v>238</v>
      </c>
      <c r="J218" t="s">
        <v>18</v>
      </c>
      <c r="K218" t="s">
        <v>122</v>
      </c>
      <c r="L218" s="1">
        <v>45108</v>
      </c>
      <c r="M218">
        <v>0.44560913114372203</v>
      </c>
      <c r="N218">
        <v>5.4923499411533899E-4</v>
      </c>
    </row>
    <row r="219" spans="1:14" x14ac:dyDescent="0.25">
      <c r="A219" t="s">
        <v>239</v>
      </c>
      <c r="B219">
        <v>5047</v>
      </c>
      <c r="C219">
        <v>2211</v>
      </c>
      <c r="D219">
        <v>13</v>
      </c>
      <c r="E219" t="s">
        <v>40</v>
      </c>
      <c r="F219" t="s">
        <v>52</v>
      </c>
      <c r="G219" t="s">
        <v>36</v>
      </c>
      <c r="H219" s="1">
        <v>45151</v>
      </c>
      <c r="I219" t="s">
        <v>240</v>
      </c>
      <c r="J219" t="s">
        <v>38</v>
      </c>
      <c r="K219" t="s">
        <v>79</v>
      </c>
      <c r="L219" s="1">
        <v>45139</v>
      </c>
      <c r="M219">
        <v>0.43808202892807602</v>
      </c>
      <c r="N219">
        <v>1.0200078462141999E-3</v>
      </c>
    </row>
    <row r="220" spans="1:14" x14ac:dyDescent="0.25">
      <c r="A220" t="s">
        <v>239</v>
      </c>
      <c r="B220">
        <v>5047</v>
      </c>
      <c r="C220">
        <v>2211</v>
      </c>
      <c r="D220">
        <v>13</v>
      </c>
      <c r="E220" t="s">
        <v>40</v>
      </c>
      <c r="F220" t="s">
        <v>52</v>
      </c>
      <c r="G220" t="s">
        <v>36</v>
      </c>
      <c r="H220" s="1">
        <v>44231</v>
      </c>
      <c r="I220" t="s">
        <v>241</v>
      </c>
      <c r="J220" t="s">
        <v>21</v>
      </c>
      <c r="K220" t="s">
        <v>22</v>
      </c>
      <c r="L220" s="1">
        <v>44228</v>
      </c>
      <c r="M220">
        <v>0.43808202892807602</v>
      </c>
      <c r="N220">
        <v>1.0200078462141999E-3</v>
      </c>
    </row>
    <row r="221" spans="1:14" x14ac:dyDescent="0.25">
      <c r="A221" t="s">
        <v>239</v>
      </c>
      <c r="B221">
        <v>5047</v>
      </c>
      <c r="C221">
        <v>2211</v>
      </c>
      <c r="D221">
        <v>13</v>
      </c>
      <c r="E221" t="s">
        <v>40</v>
      </c>
      <c r="F221" t="s">
        <v>52</v>
      </c>
      <c r="G221" t="s">
        <v>36</v>
      </c>
      <c r="H221" s="1">
        <v>44820</v>
      </c>
      <c r="I221" t="s">
        <v>242</v>
      </c>
      <c r="J221" t="s">
        <v>21</v>
      </c>
      <c r="K221" t="s">
        <v>138</v>
      </c>
      <c r="L221" s="1">
        <v>44805</v>
      </c>
      <c r="M221">
        <v>0.43808202892807602</v>
      </c>
      <c r="N221">
        <v>1.0200078462141999E-3</v>
      </c>
    </row>
    <row r="222" spans="1:14" x14ac:dyDescent="0.25">
      <c r="A222" t="s">
        <v>239</v>
      </c>
      <c r="B222">
        <v>5047</v>
      </c>
      <c r="C222">
        <v>2211</v>
      </c>
      <c r="D222">
        <v>13</v>
      </c>
      <c r="E222" t="s">
        <v>40</v>
      </c>
      <c r="F222" t="s">
        <v>52</v>
      </c>
      <c r="G222" t="s">
        <v>36</v>
      </c>
      <c r="H222" s="1">
        <v>44687</v>
      </c>
      <c r="I222" t="s">
        <v>243</v>
      </c>
      <c r="J222" t="s">
        <v>24</v>
      </c>
      <c r="K222" t="s">
        <v>25</v>
      </c>
      <c r="L222" s="1">
        <v>44682</v>
      </c>
      <c r="M222">
        <v>0.43808202892807602</v>
      </c>
      <c r="N222">
        <v>1.0200078462141999E-3</v>
      </c>
    </row>
    <row r="223" spans="1:14" x14ac:dyDescent="0.25">
      <c r="A223" t="s">
        <v>244</v>
      </c>
      <c r="B223">
        <v>3657</v>
      </c>
      <c r="C223">
        <v>163</v>
      </c>
      <c r="D223">
        <v>1</v>
      </c>
      <c r="E223" t="s">
        <v>40</v>
      </c>
      <c r="F223" t="s">
        <v>52</v>
      </c>
      <c r="G223" t="s">
        <v>16</v>
      </c>
      <c r="H223" s="1">
        <v>44344</v>
      </c>
      <c r="I223" t="s">
        <v>245</v>
      </c>
      <c r="J223" t="s">
        <v>38</v>
      </c>
      <c r="K223" t="s">
        <v>79</v>
      </c>
      <c r="L223" s="1">
        <v>44317</v>
      </c>
      <c r="M223">
        <v>4.4572053595843597E-2</v>
      </c>
      <c r="N223">
        <v>7.8462142016476997E-5</v>
      </c>
    </row>
    <row r="224" spans="1:14" x14ac:dyDescent="0.25">
      <c r="A224" t="s">
        <v>246</v>
      </c>
      <c r="B224">
        <v>6471</v>
      </c>
      <c r="C224">
        <v>2842</v>
      </c>
      <c r="D224">
        <v>18</v>
      </c>
      <c r="E224" t="s">
        <v>14</v>
      </c>
      <c r="F224" t="s">
        <v>15</v>
      </c>
      <c r="G224" t="s">
        <v>16</v>
      </c>
      <c r="H224" s="1">
        <v>45491</v>
      </c>
      <c r="I224" t="s">
        <v>247</v>
      </c>
      <c r="J224" t="s">
        <v>21</v>
      </c>
      <c r="K224" t="s">
        <v>138</v>
      </c>
      <c r="L224" s="1">
        <v>45474</v>
      </c>
      <c r="M224">
        <v>0.43919023334878698</v>
      </c>
      <c r="N224">
        <v>1.41231855629659E-3</v>
      </c>
    </row>
    <row r="225" spans="1:14" x14ac:dyDescent="0.25">
      <c r="A225" t="s">
        <v>248</v>
      </c>
      <c r="B225">
        <v>949</v>
      </c>
      <c r="C225">
        <v>301</v>
      </c>
      <c r="D225">
        <v>9</v>
      </c>
      <c r="E225" t="s">
        <v>28</v>
      </c>
      <c r="F225" t="s">
        <v>68</v>
      </c>
      <c r="G225" t="s">
        <v>16</v>
      </c>
      <c r="H225" s="1">
        <v>45632</v>
      </c>
      <c r="I225" t="s">
        <v>249</v>
      </c>
      <c r="J225" t="s">
        <v>83</v>
      </c>
      <c r="K225" t="s">
        <v>98</v>
      </c>
      <c r="L225" s="1">
        <v>45627</v>
      </c>
      <c r="M225">
        <v>0.31717597471022102</v>
      </c>
      <c r="N225">
        <v>7.0615927814829404E-4</v>
      </c>
    </row>
    <row r="226" spans="1:14" x14ac:dyDescent="0.25">
      <c r="A226" t="s">
        <v>248</v>
      </c>
      <c r="B226">
        <v>6823</v>
      </c>
      <c r="C226">
        <v>771</v>
      </c>
      <c r="D226">
        <v>6</v>
      </c>
      <c r="E226" t="s">
        <v>28</v>
      </c>
      <c r="F226" t="s">
        <v>68</v>
      </c>
      <c r="G226" t="s">
        <v>36</v>
      </c>
      <c r="H226" s="1">
        <v>45632</v>
      </c>
      <c r="I226" t="s">
        <v>249</v>
      </c>
      <c r="J226" t="s">
        <v>83</v>
      </c>
      <c r="K226" t="s">
        <v>98</v>
      </c>
      <c r="L226" s="1">
        <v>45627</v>
      </c>
      <c r="M226">
        <v>0.113000146563095</v>
      </c>
      <c r="N226">
        <v>4.7077285209886201E-4</v>
      </c>
    </row>
    <row r="227" spans="1:14" x14ac:dyDescent="0.25">
      <c r="A227" t="s">
        <v>248</v>
      </c>
      <c r="B227">
        <v>4364</v>
      </c>
      <c r="C227">
        <v>831</v>
      </c>
      <c r="D227">
        <v>2</v>
      </c>
      <c r="E227" t="s">
        <v>40</v>
      </c>
      <c r="F227" t="s">
        <v>41</v>
      </c>
      <c r="G227" t="s">
        <v>36</v>
      </c>
      <c r="H227" s="1">
        <v>45632</v>
      </c>
      <c r="I227" t="s">
        <v>249</v>
      </c>
      <c r="J227" t="s">
        <v>83</v>
      </c>
      <c r="K227" t="s">
        <v>98</v>
      </c>
      <c r="L227" s="1">
        <v>45627</v>
      </c>
      <c r="M227">
        <v>0.19042163153070599</v>
      </c>
      <c r="N227">
        <v>1.5692428403295399E-4</v>
      </c>
    </row>
    <row r="228" spans="1:14" x14ac:dyDescent="0.25">
      <c r="A228" t="s">
        <v>250</v>
      </c>
      <c r="B228">
        <v>6671</v>
      </c>
      <c r="C228">
        <v>2797</v>
      </c>
      <c r="D228">
        <v>10</v>
      </c>
      <c r="E228" t="s">
        <v>14</v>
      </c>
      <c r="F228" t="s">
        <v>71</v>
      </c>
      <c r="G228" t="s">
        <v>16</v>
      </c>
      <c r="H228" s="1">
        <v>44907</v>
      </c>
      <c r="I228" t="s">
        <v>251</v>
      </c>
      <c r="J228" t="s">
        <v>21</v>
      </c>
      <c r="K228" t="s">
        <v>138</v>
      </c>
      <c r="L228" s="1">
        <v>44896</v>
      </c>
      <c r="M228">
        <v>0.419277469644731</v>
      </c>
      <c r="N228">
        <v>7.8462142016477005E-4</v>
      </c>
    </row>
    <row r="229" spans="1:14" x14ac:dyDescent="0.25">
      <c r="A229" t="s">
        <v>252</v>
      </c>
      <c r="B229">
        <v>7472</v>
      </c>
      <c r="C229">
        <v>1037</v>
      </c>
      <c r="D229">
        <v>3</v>
      </c>
      <c r="E229" t="s">
        <v>28</v>
      </c>
      <c r="F229" t="s">
        <v>56</v>
      </c>
      <c r="G229" t="s">
        <v>57</v>
      </c>
      <c r="H229" s="1">
        <v>44854</v>
      </c>
      <c r="I229" t="s">
        <v>253</v>
      </c>
      <c r="J229" t="s">
        <v>21</v>
      </c>
      <c r="K229" t="s">
        <v>55</v>
      </c>
      <c r="L229" s="1">
        <v>44835</v>
      </c>
      <c r="M229">
        <v>0.13878479657387599</v>
      </c>
      <c r="N229">
        <v>2.35386426049431E-4</v>
      </c>
    </row>
    <row r="230" spans="1:14" x14ac:dyDescent="0.25">
      <c r="A230" t="s">
        <v>252</v>
      </c>
      <c r="B230">
        <v>9548</v>
      </c>
      <c r="C230">
        <v>1806</v>
      </c>
      <c r="D230">
        <v>9</v>
      </c>
      <c r="E230" t="s">
        <v>14</v>
      </c>
      <c r="F230" t="s">
        <v>26</v>
      </c>
      <c r="G230" t="s">
        <v>57</v>
      </c>
      <c r="H230" s="1">
        <v>44854</v>
      </c>
      <c r="I230" t="s">
        <v>253</v>
      </c>
      <c r="J230" t="s">
        <v>21</v>
      </c>
      <c r="K230" t="s">
        <v>55</v>
      </c>
      <c r="L230" s="1">
        <v>44835</v>
      </c>
      <c r="M230">
        <v>0.189149560117302</v>
      </c>
      <c r="N230">
        <v>7.0615927814829404E-4</v>
      </c>
    </row>
    <row r="231" spans="1:14" x14ac:dyDescent="0.25">
      <c r="A231" t="s">
        <v>254</v>
      </c>
      <c r="B231">
        <v>7759</v>
      </c>
      <c r="C231">
        <v>3741</v>
      </c>
      <c r="D231">
        <v>17</v>
      </c>
      <c r="E231" t="s">
        <v>14</v>
      </c>
      <c r="F231" t="s">
        <v>26</v>
      </c>
      <c r="G231" t="s">
        <v>16</v>
      </c>
      <c r="H231" s="1">
        <v>44279</v>
      </c>
      <c r="I231" t="s">
        <v>255</v>
      </c>
      <c r="J231" t="s">
        <v>18</v>
      </c>
      <c r="K231" t="s">
        <v>19</v>
      </c>
      <c r="L231" s="1">
        <v>44256</v>
      </c>
      <c r="M231">
        <v>0.48214976156721201</v>
      </c>
      <c r="N231">
        <v>1.33385641428011E-3</v>
      </c>
    </row>
    <row r="232" spans="1:14" x14ac:dyDescent="0.25">
      <c r="A232" t="s">
        <v>254</v>
      </c>
      <c r="B232">
        <v>7759</v>
      </c>
      <c r="C232">
        <v>3741</v>
      </c>
      <c r="D232">
        <v>17</v>
      </c>
      <c r="E232" t="s">
        <v>14</v>
      </c>
      <c r="F232" t="s">
        <v>26</v>
      </c>
      <c r="G232" t="s">
        <v>16</v>
      </c>
      <c r="H232" s="1">
        <v>45663</v>
      </c>
      <c r="I232" t="s">
        <v>256</v>
      </c>
      <c r="J232" t="s">
        <v>63</v>
      </c>
      <c r="K232" t="s">
        <v>64</v>
      </c>
      <c r="L232" s="1">
        <v>45658</v>
      </c>
      <c r="M232">
        <v>0.48214976156721201</v>
      </c>
      <c r="N232">
        <v>1.33385641428011E-3</v>
      </c>
    </row>
    <row r="233" spans="1:14" x14ac:dyDescent="0.25">
      <c r="A233" t="s">
        <v>254</v>
      </c>
      <c r="B233">
        <v>7521</v>
      </c>
      <c r="C233">
        <v>3457</v>
      </c>
      <c r="D233">
        <v>16</v>
      </c>
      <c r="E233" t="s">
        <v>28</v>
      </c>
      <c r="F233" t="s">
        <v>50</v>
      </c>
      <c r="G233" t="s">
        <v>30</v>
      </c>
      <c r="H233" s="1">
        <v>44279</v>
      </c>
      <c r="I233" t="s">
        <v>255</v>
      </c>
      <c r="J233" t="s">
        <v>18</v>
      </c>
      <c r="K233" t="s">
        <v>19</v>
      </c>
      <c r="L233" s="1">
        <v>44256</v>
      </c>
      <c r="M233">
        <v>0.459646323627177</v>
      </c>
      <c r="N233">
        <v>1.25539427226363E-3</v>
      </c>
    </row>
    <row r="234" spans="1:14" x14ac:dyDescent="0.25">
      <c r="A234" t="s">
        <v>254</v>
      </c>
      <c r="B234">
        <v>7521</v>
      </c>
      <c r="C234">
        <v>3457</v>
      </c>
      <c r="D234">
        <v>16</v>
      </c>
      <c r="E234" t="s">
        <v>28</v>
      </c>
      <c r="F234" t="s">
        <v>50</v>
      </c>
      <c r="G234" t="s">
        <v>30</v>
      </c>
      <c r="H234" s="1">
        <v>45663</v>
      </c>
      <c r="I234" t="s">
        <v>256</v>
      </c>
      <c r="J234" t="s">
        <v>63</v>
      </c>
      <c r="K234" t="s">
        <v>64</v>
      </c>
      <c r="L234" s="1">
        <v>45658</v>
      </c>
      <c r="M234">
        <v>0.459646323627177</v>
      </c>
      <c r="N234">
        <v>1.25539427226363E-3</v>
      </c>
    </row>
    <row r="235" spans="1:14" x14ac:dyDescent="0.25">
      <c r="A235" t="s">
        <v>257</v>
      </c>
      <c r="B235">
        <v>9704</v>
      </c>
      <c r="C235">
        <v>4339</v>
      </c>
      <c r="D235">
        <v>12</v>
      </c>
      <c r="E235" t="s">
        <v>28</v>
      </c>
      <c r="F235" t="s">
        <v>29</v>
      </c>
      <c r="G235" t="s">
        <v>57</v>
      </c>
      <c r="H235" s="1">
        <v>44261</v>
      </c>
      <c r="I235" t="s">
        <v>258</v>
      </c>
      <c r="J235" t="s">
        <v>63</v>
      </c>
      <c r="K235" t="s">
        <v>112</v>
      </c>
      <c r="L235" s="1">
        <v>44256</v>
      </c>
      <c r="M235">
        <v>0.44713520197856599</v>
      </c>
      <c r="N235">
        <v>9.4154570419772402E-4</v>
      </c>
    </row>
    <row r="236" spans="1:14" x14ac:dyDescent="0.25">
      <c r="A236" t="s">
        <v>257</v>
      </c>
      <c r="B236">
        <v>4948</v>
      </c>
      <c r="C236">
        <v>2356</v>
      </c>
      <c r="D236">
        <v>18</v>
      </c>
      <c r="E236" t="s">
        <v>14</v>
      </c>
      <c r="F236" t="s">
        <v>26</v>
      </c>
      <c r="G236" t="s">
        <v>30</v>
      </c>
      <c r="H236" s="1">
        <v>44261</v>
      </c>
      <c r="I236" t="s">
        <v>258</v>
      </c>
      <c r="J236" t="s">
        <v>63</v>
      </c>
      <c r="K236" t="s">
        <v>112</v>
      </c>
      <c r="L236" s="1">
        <v>44256</v>
      </c>
      <c r="M236">
        <v>0.476151980598222</v>
      </c>
      <c r="N236">
        <v>1.41231855629659E-3</v>
      </c>
    </row>
    <row r="237" spans="1:14" x14ac:dyDescent="0.25">
      <c r="A237" t="s">
        <v>257</v>
      </c>
      <c r="B237">
        <v>6435</v>
      </c>
      <c r="C237">
        <v>334</v>
      </c>
      <c r="D237">
        <v>10</v>
      </c>
      <c r="E237" t="s">
        <v>14</v>
      </c>
      <c r="F237" t="s">
        <v>15</v>
      </c>
      <c r="G237" t="s">
        <v>30</v>
      </c>
      <c r="H237" s="1">
        <v>44261</v>
      </c>
      <c r="I237" t="s">
        <v>258</v>
      </c>
      <c r="J237" t="s">
        <v>63</v>
      </c>
      <c r="K237" t="s">
        <v>112</v>
      </c>
      <c r="L237" s="1">
        <v>44256</v>
      </c>
      <c r="M237">
        <v>5.1903651903651898E-2</v>
      </c>
      <c r="N237">
        <v>7.8462142016477005E-4</v>
      </c>
    </row>
    <row r="238" spans="1:14" x14ac:dyDescent="0.25">
      <c r="A238" t="s">
        <v>259</v>
      </c>
      <c r="B238">
        <v>9965</v>
      </c>
      <c r="C238">
        <v>3033</v>
      </c>
      <c r="D238">
        <v>16</v>
      </c>
      <c r="E238" t="s">
        <v>28</v>
      </c>
      <c r="F238" t="s">
        <v>50</v>
      </c>
      <c r="G238" t="s">
        <v>57</v>
      </c>
      <c r="H238" s="1">
        <v>43999</v>
      </c>
      <c r="I238" t="s">
        <v>260</v>
      </c>
      <c r="J238" t="s">
        <v>38</v>
      </c>
      <c r="K238" t="s">
        <v>79</v>
      </c>
      <c r="L238" s="1">
        <v>43983</v>
      </c>
      <c r="M238">
        <v>0.30436527847466099</v>
      </c>
      <c r="N238">
        <v>1.25539427226363E-3</v>
      </c>
    </row>
    <row r="239" spans="1:14" x14ac:dyDescent="0.25">
      <c r="A239" t="s">
        <v>259</v>
      </c>
      <c r="B239">
        <v>9965</v>
      </c>
      <c r="C239">
        <v>3033</v>
      </c>
      <c r="D239">
        <v>16</v>
      </c>
      <c r="E239" t="s">
        <v>28</v>
      </c>
      <c r="F239" t="s">
        <v>50</v>
      </c>
      <c r="G239" t="s">
        <v>57</v>
      </c>
      <c r="H239" s="1">
        <v>45170</v>
      </c>
      <c r="I239" t="s">
        <v>261</v>
      </c>
      <c r="J239" t="s">
        <v>24</v>
      </c>
      <c r="K239" t="s">
        <v>25</v>
      </c>
      <c r="L239" s="1">
        <v>45170</v>
      </c>
      <c r="M239">
        <v>0.30436527847466099</v>
      </c>
      <c r="N239">
        <v>1.25539427226363E-3</v>
      </c>
    </row>
    <row r="240" spans="1:14" x14ac:dyDescent="0.25">
      <c r="A240" t="s">
        <v>262</v>
      </c>
      <c r="B240">
        <v>1523</v>
      </c>
      <c r="C240">
        <v>234</v>
      </c>
      <c r="D240">
        <v>3</v>
      </c>
      <c r="E240" t="s">
        <v>40</v>
      </c>
      <c r="F240" t="s">
        <v>52</v>
      </c>
      <c r="G240" t="s">
        <v>16</v>
      </c>
      <c r="H240" s="1">
        <v>45085</v>
      </c>
      <c r="I240" t="s">
        <v>263</v>
      </c>
      <c r="J240" t="s">
        <v>24</v>
      </c>
      <c r="K240" t="s">
        <v>60</v>
      </c>
      <c r="L240" s="1">
        <v>45078</v>
      </c>
      <c r="M240">
        <v>0.15364412344057801</v>
      </c>
      <c r="N240">
        <v>2.35386426049431E-4</v>
      </c>
    </row>
    <row r="241" spans="1:14" x14ac:dyDescent="0.25">
      <c r="A241" t="s">
        <v>262</v>
      </c>
      <c r="B241">
        <v>9073</v>
      </c>
      <c r="C241">
        <v>424</v>
      </c>
      <c r="D241">
        <v>7</v>
      </c>
      <c r="E241" t="s">
        <v>14</v>
      </c>
      <c r="F241" t="s">
        <v>15</v>
      </c>
      <c r="G241" t="s">
        <v>30</v>
      </c>
      <c r="H241" s="1">
        <v>45085</v>
      </c>
      <c r="I241" t="s">
        <v>263</v>
      </c>
      <c r="J241" t="s">
        <v>24</v>
      </c>
      <c r="K241" t="s">
        <v>60</v>
      </c>
      <c r="L241" s="1">
        <v>45078</v>
      </c>
      <c r="M241">
        <v>4.6732062162460002E-2</v>
      </c>
      <c r="N241">
        <v>5.4923499411533899E-4</v>
      </c>
    </row>
    <row r="242" spans="1:14" x14ac:dyDescent="0.25">
      <c r="A242" t="s">
        <v>264</v>
      </c>
      <c r="B242">
        <v>6447</v>
      </c>
      <c r="C242">
        <v>3079</v>
      </c>
      <c r="D242">
        <v>20</v>
      </c>
      <c r="E242" t="s">
        <v>14</v>
      </c>
      <c r="F242" t="s">
        <v>35</v>
      </c>
      <c r="G242" t="s">
        <v>57</v>
      </c>
      <c r="H242" s="1">
        <v>44280</v>
      </c>
      <c r="I242" t="s">
        <v>265</v>
      </c>
      <c r="J242" t="s">
        <v>24</v>
      </c>
      <c r="K242" t="s">
        <v>60</v>
      </c>
      <c r="L242" s="1">
        <v>44256</v>
      </c>
      <c r="M242">
        <v>0.47758647432914503</v>
      </c>
      <c r="N242">
        <v>1.5692428403295401E-3</v>
      </c>
    </row>
    <row r="243" spans="1:14" x14ac:dyDescent="0.25">
      <c r="A243" t="s">
        <v>264</v>
      </c>
      <c r="B243">
        <v>8947</v>
      </c>
      <c r="C243">
        <v>2807</v>
      </c>
      <c r="D243">
        <v>6</v>
      </c>
      <c r="E243" t="s">
        <v>14</v>
      </c>
      <c r="F243" t="s">
        <v>15</v>
      </c>
      <c r="G243" t="s">
        <v>42</v>
      </c>
      <c r="H243" s="1">
        <v>44280</v>
      </c>
      <c r="I243" t="s">
        <v>265</v>
      </c>
      <c r="J243" t="s">
        <v>24</v>
      </c>
      <c r="K243" t="s">
        <v>60</v>
      </c>
      <c r="L243" s="1">
        <v>44256</v>
      </c>
      <c r="M243">
        <v>0.313736447971387</v>
      </c>
      <c r="N243">
        <v>4.7077285209886201E-4</v>
      </c>
    </row>
    <row r="244" spans="1:14" x14ac:dyDescent="0.25">
      <c r="A244" t="s">
        <v>266</v>
      </c>
      <c r="B244">
        <v>914</v>
      </c>
      <c r="C244">
        <v>400</v>
      </c>
      <c r="D244">
        <v>8</v>
      </c>
      <c r="E244" t="s">
        <v>28</v>
      </c>
      <c r="F244" t="s">
        <v>29</v>
      </c>
      <c r="G244" t="s">
        <v>30</v>
      </c>
      <c r="H244" s="1">
        <v>44199</v>
      </c>
      <c r="I244" t="s">
        <v>267</v>
      </c>
      <c r="J244" t="s">
        <v>38</v>
      </c>
      <c r="K244" t="s">
        <v>39</v>
      </c>
      <c r="L244" s="1">
        <v>44197</v>
      </c>
      <c r="M244">
        <v>0.43763676148796499</v>
      </c>
      <c r="N244">
        <v>6.2769713613181597E-4</v>
      </c>
    </row>
    <row r="245" spans="1:14" x14ac:dyDescent="0.25">
      <c r="A245" t="s">
        <v>266</v>
      </c>
      <c r="B245">
        <v>1548</v>
      </c>
      <c r="C245">
        <v>666</v>
      </c>
      <c r="D245">
        <v>3</v>
      </c>
      <c r="E245" t="s">
        <v>28</v>
      </c>
      <c r="F245" t="s">
        <v>56</v>
      </c>
      <c r="G245" t="s">
        <v>42</v>
      </c>
      <c r="H245" s="1">
        <v>44199</v>
      </c>
      <c r="I245" t="s">
        <v>267</v>
      </c>
      <c r="J245" t="s">
        <v>38</v>
      </c>
      <c r="K245" t="s">
        <v>39</v>
      </c>
      <c r="L245" s="1">
        <v>44197</v>
      </c>
      <c r="M245">
        <v>0.43023255813953498</v>
      </c>
      <c r="N245">
        <v>2.35386426049431E-4</v>
      </c>
    </row>
    <row r="246" spans="1:14" x14ac:dyDescent="0.25">
      <c r="A246" t="s">
        <v>268</v>
      </c>
      <c r="B246">
        <v>2759</v>
      </c>
      <c r="C246">
        <v>1149</v>
      </c>
      <c r="D246">
        <v>6</v>
      </c>
      <c r="E246" t="s">
        <v>40</v>
      </c>
      <c r="F246" t="s">
        <v>41</v>
      </c>
      <c r="G246" t="s">
        <v>42</v>
      </c>
      <c r="H246" s="1">
        <v>45653</v>
      </c>
      <c r="I246" t="s">
        <v>269</v>
      </c>
      <c r="J246" t="s">
        <v>24</v>
      </c>
      <c r="K246" t="s">
        <v>46</v>
      </c>
      <c r="L246" s="1">
        <v>45627</v>
      </c>
      <c r="M246">
        <v>0.41645523740485701</v>
      </c>
      <c r="N246">
        <v>4.7077285209886201E-4</v>
      </c>
    </row>
    <row r="247" spans="1:14" x14ac:dyDescent="0.25">
      <c r="A247" t="s">
        <v>270</v>
      </c>
      <c r="B247">
        <v>1341</v>
      </c>
      <c r="C247">
        <v>615</v>
      </c>
      <c r="D247">
        <v>4</v>
      </c>
      <c r="E247" t="s">
        <v>14</v>
      </c>
      <c r="F247" t="s">
        <v>35</v>
      </c>
      <c r="G247" t="s">
        <v>16</v>
      </c>
      <c r="H247" s="1">
        <v>44785</v>
      </c>
      <c r="I247" t="s">
        <v>271</v>
      </c>
      <c r="J247" t="s">
        <v>18</v>
      </c>
      <c r="K247" t="s">
        <v>32</v>
      </c>
      <c r="L247" s="1">
        <v>44774</v>
      </c>
      <c r="M247">
        <v>0.45861297539149898</v>
      </c>
      <c r="N247">
        <v>3.1384856806590799E-4</v>
      </c>
    </row>
    <row r="248" spans="1:14" x14ac:dyDescent="0.25">
      <c r="A248" t="s">
        <v>272</v>
      </c>
      <c r="B248">
        <v>9851</v>
      </c>
      <c r="C248">
        <v>2669</v>
      </c>
      <c r="D248">
        <v>19</v>
      </c>
      <c r="E248" t="s">
        <v>14</v>
      </c>
      <c r="F248" t="s">
        <v>15</v>
      </c>
      <c r="G248" t="s">
        <v>30</v>
      </c>
      <c r="H248" s="1">
        <v>44648</v>
      </c>
      <c r="I248" t="s">
        <v>273</v>
      </c>
      <c r="J248" t="s">
        <v>83</v>
      </c>
      <c r="K248" t="s">
        <v>98</v>
      </c>
      <c r="L248" s="1">
        <v>44621</v>
      </c>
      <c r="M248">
        <v>0.27093696071464801</v>
      </c>
      <c r="N248">
        <v>1.4907806983130601E-3</v>
      </c>
    </row>
    <row r="249" spans="1:14" x14ac:dyDescent="0.25">
      <c r="A249" t="s">
        <v>272</v>
      </c>
      <c r="B249">
        <v>9851</v>
      </c>
      <c r="C249">
        <v>2669</v>
      </c>
      <c r="D249">
        <v>19</v>
      </c>
      <c r="E249" t="s">
        <v>14</v>
      </c>
      <c r="F249" t="s">
        <v>15</v>
      </c>
      <c r="G249" t="s">
        <v>30</v>
      </c>
      <c r="H249" s="1">
        <v>45122</v>
      </c>
      <c r="I249" t="s">
        <v>274</v>
      </c>
      <c r="J249" t="s">
        <v>24</v>
      </c>
      <c r="K249" t="s">
        <v>25</v>
      </c>
      <c r="L249" s="1">
        <v>45108</v>
      </c>
      <c r="M249">
        <v>0.27093696071464801</v>
      </c>
      <c r="N249">
        <v>1.4907806983130601E-3</v>
      </c>
    </row>
    <row r="250" spans="1:14" x14ac:dyDescent="0.25">
      <c r="A250" t="s">
        <v>272</v>
      </c>
      <c r="B250">
        <v>9851</v>
      </c>
      <c r="C250">
        <v>2669</v>
      </c>
      <c r="D250">
        <v>19</v>
      </c>
      <c r="E250" t="s">
        <v>14</v>
      </c>
      <c r="F250" t="s">
        <v>15</v>
      </c>
      <c r="G250" t="s">
        <v>30</v>
      </c>
      <c r="H250" s="1">
        <v>44826</v>
      </c>
      <c r="I250" t="s">
        <v>275</v>
      </c>
      <c r="J250" t="s">
        <v>18</v>
      </c>
      <c r="K250" t="s">
        <v>32</v>
      </c>
      <c r="L250" s="1">
        <v>44805</v>
      </c>
      <c r="M250">
        <v>0.27093696071464801</v>
      </c>
      <c r="N250">
        <v>1.4907806983130601E-3</v>
      </c>
    </row>
    <row r="251" spans="1:14" x14ac:dyDescent="0.25">
      <c r="A251" t="s">
        <v>272</v>
      </c>
      <c r="B251">
        <v>9989</v>
      </c>
      <c r="C251">
        <v>3930</v>
      </c>
      <c r="D251">
        <v>14</v>
      </c>
      <c r="E251" t="s">
        <v>40</v>
      </c>
      <c r="F251" t="s">
        <v>41</v>
      </c>
      <c r="G251" t="s">
        <v>30</v>
      </c>
      <c r="H251" s="1">
        <v>44648</v>
      </c>
      <c r="I251" t="s">
        <v>273</v>
      </c>
      <c r="J251" t="s">
        <v>83</v>
      </c>
      <c r="K251" t="s">
        <v>98</v>
      </c>
      <c r="L251" s="1">
        <v>44621</v>
      </c>
      <c r="M251">
        <v>0.39343277605365901</v>
      </c>
      <c r="N251">
        <v>1.0984699882306799E-3</v>
      </c>
    </row>
    <row r="252" spans="1:14" x14ac:dyDescent="0.25">
      <c r="A252" t="s">
        <v>272</v>
      </c>
      <c r="B252">
        <v>9989</v>
      </c>
      <c r="C252">
        <v>3930</v>
      </c>
      <c r="D252">
        <v>14</v>
      </c>
      <c r="E252" t="s">
        <v>40</v>
      </c>
      <c r="F252" t="s">
        <v>41</v>
      </c>
      <c r="G252" t="s">
        <v>30</v>
      </c>
      <c r="H252" s="1">
        <v>45122</v>
      </c>
      <c r="I252" t="s">
        <v>274</v>
      </c>
      <c r="J252" t="s">
        <v>24</v>
      </c>
      <c r="K252" t="s">
        <v>25</v>
      </c>
      <c r="L252" s="1">
        <v>45108</v>
      </c>
      <c r="M252">
        <v>0.39343277605365901</v>
      </c>
      <c r="N252">
        <v>1.0984699882306799E-3</v>
      </c>
    </row>
    <row r="253" spans="1:14" x14ac:dyDescent="0.25">
      <c r="A253" t="s">
        <v>272</v>
      </c>
      <c r="B253">
        <v>9989</v>
      </c>
      <c r="C253">
        <v>3930</v>
      </c>
      <c r="D253">
        <v>14</v>
      </c>
      <c r="E253" t="s">
        <v>40</v>
      </c>
      <c r="F253" t="s">
        <v>41</v>
      </c>
      <c r="G253" t="s">
        <v>30</v>
      </c>
      <c r="H253" s="1">
        <v>44826</v>
      </c>
      <c r="I253" t="s">
        <v>275</v>
      </c>
      <c r="J253" t="s">
        <v>18</v>
      </c>
      <c r="K253" t="s">
        <v>32</v>
      </c>
      <c r="L253" s="1">
        <v>44805</v>
      </c>
      <c r="M253">
        <v>0.39343277605365901</v>
      </c>
      <c r="N253">
        <v>1.0984699882306799E-3</v>
      </c>
    </row>
    <row r="254" spans="1:14" x14ac:dyDescent="0.25">
      <c r="A254" t="s">
        <v>276</v>
      </c>
      <c r="B254">
        <v>7421</v>
      </c>
      <c r="C254">
        <v>958</v>
      </c>
      <c r="D254">
        <v>10</v>
      </c>
      <c r="E254" t="s">
        <v>40</v>
      </c>
      <c r="F254" t="s">
        <v>41</v>
      </c>
      <c r="G254" t="s">
        <v>57</v>
      </c>
      <c r="H254" s="1">
        <v>44915</v>
      </c>
      <c r="I254" t="s">
        <v>277</v>
      </c>
      <c r="J254" t="s">
        <v>63</v>
      </c>
      <c r="K254" t="s">
        <v>112</v>
      </c>
      <c r="L254" s="1">
        <v>44896</v>
      </c>
      <c r="M254">
        <v>0.12909311413556099</v>
      </c>
      <c r="N254">
        <v>7.8462142016477005E-4</v>
      </c>
    </row>
    <row r="255" spans="1:14" x14ac:dyDescent="0.25">
      <c r="A255" t="s">
        <v>276</v>
      </c>
      <c r="B255">
        <v>7421</v>
      </c>
      <c r="C255">
        <v>958</v>
      </c>
      <c r="D255">
        <v>10</v>
      </c>
      <c r="E255" t="s">
        <v>40</v>
      </c>
      <c r="F255" t="s">
        <v>41</v>
      </c>
      <c r="G255" t="s">
        <v>57</v>
      </c>
      <c r="H255" s="1">
        <v>44577</v>
      </c>
      <c r="I255" t="s">
        <v>278</v>
      </c>
      <c r="J255" t="s">
        <v>63</v>
      </c>
      <c r="K255" t="s">
        <v>112</v>
      </c>
      <c r="L255" s="1">
        <v>44562</v>
      </c>
      <c r="M255">
        <v>0.12909311413556099</v>
      </c>
      <c r="N255">
        <v>7.8462142016477005E-4</v>
      </c>
    </row>
    <row r="256" spans="1:14" x14ac:dyDescent="0.25">
      <c r="A256" t="s">
        <v>276</v>
      </c>
      <c r="B256">
        <v>7421</v>
      </c>
      <c r="C256">
        <v>958</v>
      </c>
      <c r="D256">
        <v>10</v>
      </c>
      <c r="E256" t="s">
        <v>40</v>
      </c>
      <c r="F256" t="s">
        <v>41</v>
      </c>
      <c r="G256" t="s">
        <v>57</v>
      </c>
      <c r="H256" s="1">
        <v>44955</v>
      </c>
      <c r="I256" t="s">
        <v>279</v>
      </c>
      <c r="J256" t="s">
        <v>63</v>
      </c>
      <c r="K256" t="s">
        <v>64</v>
      </c>
      <c r="L256" s="1">
        <v>44927</v>
      </c>
      <c r="M256">
        <v>0.12909311413556099</v>
      </c>
      <c r="N256">
        <v>7.8462142016477005E-4</v>
      </c>
    </row>
    <row r="257" spans="1:14" x14ac:dyDescent="0.25">
      <c r="A257" t="s">
        <v>280</v>
      </c>
      <c r="B257">
        <v>3099</v>
      </c>
      <c r="C257">
        <v>479</v>
      </c>
      <c r="D257">
        <v>1</v>
      </c>
      <c r="E257" t="s">
        <v>28</v>
      </c>
      <c r="F257" t="s">
        <v>56</v>
      </c>
      <c r="G257" t="s">
        <v>57</v>
      </c>
      <c r="H257" s="1">
        <v>44576</v>
      </c>
      <c r="I257" t="s">
        <v>281</v>
      </c>
      <c r="J257" t="s">
        <v>24</v>
      </c>
      <c r="K257" t="s">
        <v>25</v>
      </c>
      <c r="L257" s="1">
        <v>44562</v>
      </c>
      <c r="M257">
        <v>0.15456598902871899</v>
      </c>
      <c r="N257">
        <v>7.8462142016476997E-5</v>
      </c>
    </row>
    <row r="258" spans="1:14" x14ac:dyDescent="0.25">
      <c r="A258" t="s">
        <v>280</v>
      </c>
      <c r="B258">
        <v>2521</v>
      </c>
      <c r="C258">
        <v>906</v>
      </c>
      <c r="D258">
        <v>7</v>
      </c>
      <c r="E258" t="s">
        <v>14</v>
      </c>
      <c r="F258" t="s">
        <v>71</v>
      </c>
      <c r="G258" t="s">
        <v>57</v>
      </c>
      <c r="H258" s="1">
        <v>44576</v>
      </c>
      <c r="I258" t="s">
        <v>281</v>
      </c>
      <c r="J258" t="s">
        <v>24</v>
      </c>
      <c r="K258" t="s">
        <v>25</v>
      </c>
      <c r="L258" s="1">
        <v>44562</v>
      </c>
      <c r="M258">
        <v>0.35938119793732598</v>
      </c>
      <c r="N258">
        <v>5.4923499411533899E-4</v>
      </c>
    </row>
    <row r="259" spans="1:14" x14ac:dyDescent="0.25">
      <c r="A259" t="s">
        <v>282</v>
      </c>
      <c r="B259">
        <v>6962</v>
      </c>
      <c r="C259">
        <v>3429</v>
      </c>
      <c r="D259">
        <v>12</v>
      </c>
      <c r="E259" t="s">
        <v>14</v>
      </c>
      <c r="F259" t="s">
        <v>15</v>
      </c>
      <c r="G259" t="s">
        <v>16</v>
      </c>
      <c r="H259" s="1">
        <v>45375</v>
      </c>
      <c r="I259" t="s">
        <v>283</v>
      </c>
      <c r="J259" t="s">
        <v>63</v>
      </c>
      <c r="K259" t="s">
        <v>64</v>
      </c>
      <c r="L259" s="1">
        <v>45352</v>
      </c>
      <c r="M259">
        <v>0.49253088193048</v>
      </c>
      <c r="N259">
        <v>9.4154570419772402E-4</v>
      </c>
    </row>
    <row r="260" spans="1:14" x14ac:dyDescent="0.25">
      <c r="A260" t="s">
        <v>282</v>
      </c>
      <c r="B260">
        <v>6962</v>
      </c>
      <c r="C260">
        <v>3429</v>
      </c>
      <c r="D260">
        <v>12</v>
      </c>
      <c r="E260" t="s">
        <v>14</v>
      </c>
      <c r="F260" t="s">
        <v>15</v>
      </c>
      <c r="G260" t="s">
        <v>16</v>
      </c>
      <c r="H260" s="1">
        <v>45707</v>
      </c>
      <c r="I260" t="s">
        <v>284</v>
      </c>
      <c r="J260" t="s">
        <v>18</v>
      </c>
      <c r="K260" t="s">
        <v>19</v>
      </c>
      <c r="L260" s="1">
        <v>45689</v>
      </c>
      <c r="M260">
        <v>0.49253088193048</v>
      </c>
      <c r="N260">
        <v>9.4154570419772402E-4</v>
      </c>
    </row>
    <row r="261" spans="1:14" x14ac:dyDescent="0.25">
      <c r="A261" t="s">
        <v>285</v>
      </c>
      <c r="B261">
        <v>1085</v>
      </c>
      <c r="C261">
        <v>301</v>
      </c>
      <c r="D261">
        <v>20</v>
      </c>
      <c r="E261" t="s">
        <v>40</v>
      </c>
      <c r="F261" t="s">
        <v>91</v>
      </c>
      <c r="G261" t="s">
        <v>16</v>
      </c>
      <c r="H261" s="1">
        <v>45486</v>
      </c>
      <c r="I261" t="s">
        <v>286</v>
      </c>
      <c r="J261" t="s">
        <v>24</v>
      </c>
      <c r="K261" t="s">
        <v>25</v>
      </c>
      <c r="L261" s="1">
        <v>45474</v>
      </c>
      <c r="M261">
        <v>0.27741935483871</v>
      </c>
      <c r="N261">
        <v>1.5692428403295401E-3</v>
      </c>
    </row>
    <row r="262" spans="1:14" x14ac:dyDescent="0.25">
      <c r="A262" t="s">
        <v>287</v>
      </c>
      <c r="B262">
        <v>738</v>
      </c>
      <c r="C262">
        <v>342</v>
      </c>
      <c r="D262">
        <v>2</v>
      </c>
      <c r="E262" t="s">
        <v>40</v>
      </c>
      <c r="F262" t="s">
        <v>44</v>
      </c>
      <c r="G262" t="s">
        <v>30</v>
      </c>
      <c r="H262" s="1">
        <v>45044</v>
      </c>
      <c r="I262" t="s">
        <v>288</v>
      </c>
      <c r="J262" t="s">
        <v>83</v>
      </c>
      <c r="K262" t="s">
        <v>90</v>
      </c>
      <c r="L262" s="1">
        <v>45017</v>
      </c>
      <c r="M262">
        <v>0.46341463414634199</v>
      </c>
      <c r="N262">
        <v>1.5692428403295399E-4</v>
      </c>
    </row>
    <row r="263" spans="1:14" x14ac:dyDescent="0.25">
      <c r="A263" t="s">
        <v>287</v>
      </c>
      <c r="B263">
        <v>738</v>
      </c>
      <c r="C263">
        <v>342</v>
      </c>
      <c r="D263">
        <v>2</v>
      </c>
      <c r="E263" t="s">
        <v>40</v>
      </c>
      <c r="F263" t="s">
        <v>44</v>
      </c>
      <c r="G263" t="s">
        <v>30</v>
      </c>
      <c r="H263" s="1">
        <v>44170</v>
      </c>
      <c r="I263" t="s">
        <v>289</v>
      </c>
      <c r="J263" t="s">
        <v>24</v>
      </c>
      <c r="K263" t="s">
        <v>25</v>
      </c>
      <c r="L263" s="1">
        <v>44166</v>
      </c>
      <c r="M263">
        <v>0.46341463414634199</v>
      </c>
      <c r="N263">
        <v>1.5692428403295399E-4</v>
      </c>
    </row>
    <row r="264" spans="1:14" x14ac:dyDescent="0.25">
      <c r="A264" t="s">
        <v>287</v>
      </c>
      <c r="B264">
        <v>738</v>
      </c>
      <c r="C264">
        <v>342</v>
      </c>
      <c r="D264">
        <v>2</v>
      </c>
      <c r="E264" t="s">
        <v>40</v>
      </c>
      <c r="F264" t="s">
        <v>44</v>
      </c>
      <c r="G264" t="s">
        <v>30</v>
      </c>
      <c r="H264" s="1">
        <v>45426</v>
      </c>
      <c r="I264" t="s">
        <v>290</v>
      </c>
      <c r="J264" t="s">
        <v>83</v>
      </c>
      <c r="K264" t="s">
        <v>90</v>
      </c>
      <c r="L264" s="1">
        <v>45413</v>
      </c>
      <c r="M264">
        <v>0.46341463414634199</v>
      </c>
      <c r="N264">
        <v>1.5692428403295399E-4</v>
      </c>
    </row>
    <row r="265" spans="1:14" x14ac:dyDescent="0.25">
      <c r="A265" t="s">
        <v>287</v>
      </c>
      <c r="B265">
        <v>738</v>
      </c>
      <c r="C265">
        <v>342</v>
      </c>
      <c r="D265">
        <v>2</v>
      </c>
      <c r="E265" t="s">
        <v>40</v>
      </c>
      <c r="F265" t="s">
        <v>44</v>
      </c>
      <c r="G265" t="s">
        <v>30</v>
      </c>
      <c r="H265" s="1">
        <v>44579</v>
      </c>
      <c r="I265" t="s">
        <v>291</v>
      </c>
      <c r="J265" t="s">
        <v>24</v>
      </c>
      <c r="K265" t="s">
        <v>46</v>
      </c>
      <c r="L265" s="1">
        <v>44562</v>
      </c>
      <c r="M265">
        <v>0.46341463414634199</v>
      </c>
      <c r="N265">
        <v>1.5692428403295399E-4</v>
      </c>
    </row>
    <row r="266" spans="1:14" x14ac:dyDescent="0.25">
      <c r="A266" t="s">
        <v>292</v>
      </c>
      <c r="B266">
        <v>1366</v>
      </c>
      <c r="C266">
        <v>242</v>
      </c>
      <c r="D266">
        <v>17</v>
      </c>
      <c r="E266" t="s">
        <v>14</v>
      </c>
      <c r="F266" t="s">
        <v>15</v>
      </c>
      <c r="G266" t="s">
        <v>36</v>
      </c>
      <c r="H266" s="1">
        <v>45187</v>
      </c>
      <c r="I266" t="s">
        <v>293</v>
      </c>
      <c r="J266" t="s">
        <v>83</v>
      </c>
      <c r="K266" t="s">
        <v>84</v>
      </c>
      <c r="L266" s="1">
        <v>45170</v>
      </c>
      <c r="M266">
        <v>0.17715959004392401</v>
      </c>
      <c r="N266">
        <v>1.33385641428011E-3</v>
      </c>
    </row>
    <row r="267" spans="1:14" x14ac:dyDescent="0.25">
      <c r="A267" t="s">
        <v>292</v>
      </c>
      <c r="B267">
        <v>1518</v>
      </c>
      <c r="C267">
        <v>155</v>
      </c>
      <c r="D267">
        <v>13</v>
      </c>
      <c r="E267" t="s">
        <v>28</v>
      </c>
      <c r="F267" t="s">
        <v>50</v>
      </c>
      <c r="G267" t="s">
        <v>42</v>
      </c>
      <c r="H267" s="1">
        <v>45187</v>
      </c>
      <c r="I267" t="s">
        <v>293</v>
      </c>
      <c r="J267" t="s">
        <v>83</v>
      </c>
      <c r="K267" t="s">
        <v>84</v>
      </c>
      <c r="L267" s="1">
        <v>45170</v>
      </c>
      <c r="M267">
        <v>0.102108036890646</v>
      </c>
      <c r="N267">
        <v>1.0200078462141999E-3</v>
      </c>
    </row>
    <row r="268" spans="1:14" x14ac:dyDescent="0.25">
      <c r="A268" t="s">
        <v>294</v>
      </c>
      <c r="B268">
        <v>2962</v>
      </c>
      <c r="C268">
        <v>1470</v>
      </c>
      <c r="D268">
        <v>1</v>
      </c>
      <c r="E268" t="s">
        <v>14</v>
      </c>
      <c r="F268" t="s">
        <v>71</v>
      </c>
      <c r="G268" t="s">
        <v>57</v>
      </c>
      <c r="H268" s="1">
        <v>44328</v>
      </c>
      <c r="I268" t="s">
        <v>295</v>
      </c>
      <c r="J268" t="s">
        <v>24</v>
      </c>
      <c r="K268" t="s">
        <v>25</v>
      </c>
      <c r="L268" s="1">
        <v>44317</v>
      </c>
      <c r="M268">
        <v>0.49628629304524002</v>
      </c>
      <c r="N268">
        <v>7.8462142016476997E-5</v>
      </c>
    </row>
    <row r="269" spans="1:14" x14ac:dyDescent="0.25">
      <c r="A269" t="s">
        <v>294</v>
      </c>
      <c r="B269">
        <v>2962</v>
      </c>
      <c r="C269">
        <v>1470</v>
      </c>
      <c r="D269">
        <v>1</v>
      </c>
      <c r="E269" t="s">
        <v>14</v>
      </c>
      <c r="F269" t="s">
        <v>71</v>
      </c>
      <c r="G269" t="s">
        <v>57</v>
      </c>
      <c r="H269" s="1">
        <v>45186</v>
      </c>
      <c r="I269" t="s">
        <v>296</v>
      </c>
      <c r="J269" t="s">
        <v>18</v>
      </c>
      <c r="K269" t="s">
        <v>122</v>
      </c>
      <c r="L269" s="1">
        <v>45170</v>
      </c>
      <c r="M269">
        <v>0.49628629304524002</v>
      </c>
      <c r="N269">
        <v>7.8462142016476997E-5</v>
      </c>
    </row>
    <row r="270" spans="1:14" x14ac:dyDescent="0.25">
      <c r="A270" t="s">
        <v>294</v>
      </c>
      <c r="B270">
        <v>7131</v>
      </c>
      <c r="C270">
        <v>718</v>
      </c>
      <c r="D270">
        <v>12</v>
      </c>
      <c r="E270" t="s">
        <v>14</v>
      </c>
      <c r="F270" t="s">
        <v>26</v>
      </c>
      <c r="G270" t="s">
        <v>16</v>
      </c>
      <c r="H270" s="1">
        <v>44328</v>
      </c>
      <c r="I270" t="s">
        <v>295</v>
      </c>
      <c r="J270" t="s">
        <v>24</v>
      </c>
      <c r="K270" t="s">
        <v>25</v>
      </c>
      <c r="L270" s="1">
        <v>44317</v>
      </c>
      <c r="M270">
        <v>0.100687140653485</v>
      </c>
      <c r="N270">
        <v>9.4154570419772402E-4</v>
      </c>
    </row>
    <row r="271" spans="1:14" x14ac:dyDescent="0.25">
      <c r="A271" t="s">
        <v>294</v>
      </c>
      <c r="B271">
        <v>7131</v>
      </c>
      <c r="C271">
        <v>718</v>
      </c>
      <c r="D271">
        <v>12</v>
      </c>
      <c r="E271" t="s">
        <v>14</v>
      </c>
      <c r="F271" t="s">
        <v>26</v>
      </c>
      <c r="G271" t="s">
        <v>16</v>
      </c>
      <c r="H271" s="1">
        <v>45186</v>
      </c>
      <c r="I271" t="s">
        <v>296</v>
      </c>
      <c r="J271" t="s">
        <v>18</v>
      </c>
      <c r="K271" t="s">
        <v>122</v>
      </c>
      <c r="L271" s="1">
        <v>45170</v>
      </c>
      <c r="M271">
        <v>0.100687140653485</v>
      </c>
      <c r="N271">
        <v>9.4154570419772402E-4</v>
      </c>
    </row>
    <row r="272" spans="1:14" x14ac:dyDescent="0.25">
      <c r="A272" t="s">
        <v>294</v>
      </c>
      <c r="B272">
        <v>4200</v>
      </c>
      <c r="C272">
        <v>855</v>
      </c>
      <c r="D272">
        <v>10</v>
      </c>
      <c r="E272" t="s">
        <v>28</v>
      </c>
      <c r="F272" t="s">
        <v>50</v>
      </c>
      <c r="G272" t="s">
        <v>36</v>
      </c>
      <c r="H272" s="1">
        <v>44328</v>
      </c>
      <c r="I272" t="s">
        <v>295</v>
      </c>
      <c r="J272" t="s">
        <v>24</v>
      </c>
      <c r="K272" t="s">
        <v>25</v>
      </c>
      <c r="L272" s="1">
        <v>44317</v>
      </c>
      <c r="M272">
        <v>0.20357142857142899</v>
      </c>
      <c r="N272">
        <v>7.8462142016477005E-4</v>
      </c>
    </row>
    <row r="273" spans="1:14" x14ac:dyDescent="0.25">
      <c r="A273" t="s">
        <v>294</v>
      </c>
      <c r="B273">
        <v>4200</v>
      </c>
      <c r="C273">
        <v>855</v>
      </c>
      <c r="D273">
        <v>10</v>
      </c>
      <c r="E273" t="s">
        <v>28</v>
      </c>
      <c r="F273" t="s">
        <v>50</v>
      </c>
      <c r="G273" t="s">
        <v>36</v>
      </c>
      <c r="H273" s="1">
        <v>45186</v>
      </c>
      <c r="I273" t="s">
        <v>296</v>
      </c>
      <c r="J273" t="s">
        <v>18</v>
      </c>
      <c r="K273" t="s">
        <v>122</v>
      </c>
      <c r="L273" s="1">
        <v>45170</v>
      </c>
      <c r="M273">
        <v>0.20357142857142899</v>
      </c>
      <c r="N273">
        <v>7.8462142016477005E-4</v>
      </c>
    </row>
    <row r="274" spans="1:14" x14ac:dyDescent="0.25">
      <c r="A274" t="s">
        <v>297</v>
      </c>
      <c r="B274">
        <v>5934</v>
      </c>
      <c r="C274">
        <v>1563</v>
      </c>
      <c r="D274">
        <v>2</v>
      </c>
      <c r="E274" t="s">
        <v>28</v>
      </c>
      <c r="F274" t="s">
        <v>50</v>
      </c>
      <c r="G274" t="s">
        <v>36</v>
      </c>
      <c r="H274" s="1">
        <v>45541</v>
      </c>
      <c r="I274" t="s">
        <v>298</v>
      </c>
      <c r="J274" t="s">
        <v>21</v>
      </c>
      <c r="K274" t="s">
        <v>138</v>
      </c>
      <c r="L274" s="1">
        <v>45536</v>
      </c>
      <c r="M274">
        <v>0.26339737108190098</v>
      </c>
      <c r="N274">
        <v>1.5692428403295399E-4</v>
      </c>
    </row>
    <row r="275" spans="1:14" x14ac:dyDescent="0.25">
      <c r="A275" t="s">
        <v>299</v>
      </c>
      <c r="B275">
        <v>2701</v>
      </c>
      <c r="C275">
        <v>322</v>
      </c>
      <c r="D275">
        <v>11</v>
      </c>
      <c r="E275" t="s">
        <v>14</v>
      </c>
      <c r="F275" t="s">
        <v>26</v>
      </c>
      <c r="G275" t="s">
        <v>16</v>
      </c>
      <c r="H275" s="1">
        <v>44730</v>
      </c>
      <c r="I275" t="s">
        <v>300</v>
      </c>
      <c r="J275" t="s">
        <v>24</v>
      </c>
      <c r="K275" t="s">
        <v>46</v>
      </c>
      <c r="L275" s="1">
        <v>44713</v>
      </c>
      <c r="M275">
        <v>0.119215105516475</v>
      </c>
      <c r="N275">
        <v>8.6308356218124801E-4</v>
      </c>
    </row>
    <row r="276" spans="1:14" x14ac:dyDescent="0.25">
      <c r="A276" t="s">
        <v>299</v>
      </c>
      <c r="B276">
        <v>7273</v>
      </c>
      <c r="C276">
        <v>2702</v>
      </c>
      <c r="D276">
        <v>18</v>
      </c>
      <c r="E276" t="s">
        <v>28</v>
      </c>
      <c r="F276" t="s">
        <v>56</v>
      </c>
      <c r="G276" t="s">
        <v>57</v>
      </c>
      <c r="H276" s="1">
        <v>44730</v>
      </c>
      <c r="I276" t="s">
        <v>300</v>
      </c>
      <c r="J276" t="s">
        <v>24</v>
      </c>
      <c r="K276" t="s">
        <v>46</v>
      </c>
      <c r="L276" s="1">
        <v>44713</v>
      </c>
      <c r="M276">
        <v>0.37151106833493702</v>
      </c>
      <c r="N276">
        <v>1.41231855629659E-3</v>
      </c>
    </row>
    <row r="277" spans="1:14" x14ac:dyDescent="0.25">
      <c r="A277" t="s">
        <v>301</v>
      </c>
      <c r="B277">
        <v>2465</v>
      </c>
      <c r="C277">
        <v>699</v>
      </c>
      <c r="D277">
        <v>18</v>
      </c>
      <c r="E277" t="s">
        <v>28</v>
      </c>
      <c r="F277" t="s">
        <v>50</v>
      </c>
      <c r="G277" t="s">
        <v>30</v>
      </c>
      <c r="H277" s="1">
        <v>43973</v>
      </c>
      <c r="I277" t="s">
        <v>302</v>
      </c>
      <c r="J277" t="s">
        <v>38</v>
      </c>
      <c r="K277" t="s">
        <v>79</v>
      </c>
      <c r="L277" s="1">
        <v>43952</v>
      </c>
      <c r="M277">
        <v>0.28356997971602399</v>
      </c>
      <c r="N277">
        <v>1.41231855629659E-3</v>
      </c>
    </row>
    <row r="278" spans="1:14" x14ac:dyDescent="0.25">
      <c r="A278" t="s">
        <v>303</v>
      </c>
      <c r="B278">
        <v>3479</v>
      </c>
      <c r="C278">
        <v>1087</v>
      </c>
      <c r="D278">
        <v>2</v>
      </c>
      <c r="E278" t="s">
        <v>28</v>
      </c>
      <c r="F278" t="s">
        <v>50</v>
      </c>
      <c r="G278" t="s">
        <v>36</v>
      </c>
      <c r="H278" s="1">
        <v>45582</v>
      </c>
      <c r="I278" t="s">
        <v>304</v>
      </c>
      <c r="J278" t="s">
        <v>63</v>
      </c>
      <c r="K278" t="s">
        <v>64</v>
      </c>
      <c r="L278" s="1">
        <v>45566</v>
      </c>
      <c r="M278">
        <v>0.31244610520264399</v>
      </c>
      <c r="N278">
        <v>1.5692428403295399E-4</v>
      </c>
    </row>
    <row r="279" spans="1:14" x14ac:dyDescent="0.25">
      <c r="A279" t="s">
        <v>303</v>
      </c>
      <c r="B279">
        <v>5457</v>
      </c>
      <c r="C279">
        <v>1765</v>
      </c>
      <c r="D279">
        <v>7</v>
      </c>
      <c r="E279" t="s">
        <v>14</v>
      </c>
      <c r="F279" t="s">
        <v>26</v>
      </c>
      <c r="G279" t="s">
        <v>36</v>
      </c>
      <c r="H279" s="1">
        <v>45582</v>
      </c>
      <c r="I279" t="s">
        <v>304</v>
      </c>
      <c r="J279" t="s">
        <v>63</v>
      </c>
      <c r="K279" t="s">
        <v>64</v>
      </c>
      <c r="L279" s="1">
        <v>45566</v>
      </c>
      <c r="M279">
        <v>0.323437786329485</v>
      </c>
      <c r="N279">
        <v>5.4923499411533899E-4</v>
      </c>
    </row>
    <row r="280" spans="1:14" x14ac:dyDescent="0.25">
      <c r="A280" t="s">
        <v>305</v>
      </c>
      <c r="B280">
        <v>4957</v>
      </c>
      <c r="C280">
        <v>1152</v>
      </c>
      <c r="D280">
        <v>8</v>
      </c>
      <c r="E280" t="s">
        <v>28</v>
      </c>
      <c r="F280" t="s">
        <v>50</v>
      </c>
      <c r="G280" t="s">
        <v>42</v>
      </c>
      <c r="H280" s="1">
        <v>44642</v>
      </c>
      <c r="I280" t="s">
        <v>306</v>
      </c>
      <c r="J280" t="s">
        <v>83</v>
      </c>
      <c r="K280" t="s">
        <v>98</v>
      </c>
      <c r="L280" s="1">
        <v>44621</v>
      </c>
      <c r="M280">
        <v>0.23239862820254201</v>
      </c>
      <c r="N280">
        <v>6.2769713613181597E-4</v>
      </c>
    </row>
    <row r="281" spans="1:14" x14ac:dyDescent="0.25">
      <c r="A281" t="s">
        <v>307</v>
      </c>
      <c r="B281">
        <v>4404</v>
      </c>
      <c r="C281">
        <v>858</v>
      </c>
      <c r="D281">
        <v>17</v>
      </c>
      <c r="E281" t="s">
        <v>28</v>
      </c>
      <c r="F281" t="s">
        <v>29</v>
      </c>
      <c r="G281" t="s">
        <v>30</v>
      </c>
      <c r="H281" s="1">
        <v>45368</v>
      </c>
      <c r="I281" t="s">
        <v>308</v>
      </c>
      <c r="J281" t="s">
        <v>83</v>
      </c>
      <c r="K281" t="s">
        <v>84</v>
      </c>
      <c r="L281" s="1">
        <v>45352</v>
      </c>
      <c r="M281">
        <v>0.19482288828337899</v>
      </c>
      <c r="N281">
        <v>1.33385641428011E-3</v>
      </c>
    </row>
    <row r="282" spans="1:14" x14ac:dyDescent="0.25">
      <c r="A282" t="s">
        <v>307</v>
      </c>
      <c r="B282">
        <v>8776</v>
      </c>
      <c r="C282">
        <v>2529</v>
      </c>
      <c r="D282">
        <v>15</v>
      </c>
      <c r="E282" t="s">
        <v>40</v>
      </c>
      <c r="F282" t="s">
        <v>52</v>
      </c>
      <c r="G282" t="s">
        <v>42</v>
      </c>
      <c r="H282" s="1">
        <v>45368</v>
      </c>
      <c r="I282" t="s">
        <v>308</v>
      </c>
      <c r="J282" t="s">
        <v>83</v>
      </c>
      <c r="K282" t="s">
        <v>84</v>
      </c>
      <c r="L282" s="1">
        <v>45352</v>
      </c>
      <c r="M282">
        <v>0.288172288058341</v>
      </c>
      <c r="N282">
        <v>1.17693213024716E-3</v>
      </c>
    </row>
    <row r="283" spans="1:14" x14ac:dyDescent="0.25">
      <c r="A283" t="s">
        <v>309</v>
      </c>
      <c r="B283">
        <v>9536</v>
      </c>
      <c r="C283">
        <v>1437</v>
      </c>
      <c r="D283">
        <v>9</v>
      </c>
      <c r="E283" t="s">
        <v>14</v>
      </c>
      <c r="F283" t="s">
        <v>71</v>
      </c>
      <c r="G283" t="s">
        <v>16</v>
      </c>
      <c r="H283" s="1">
        <v>43923</v>
      </c>
      <c r="I283" t="s">
        <v>310</v>
      </c>
      <c r="J283" t="s">
        <v>18</v>
      </c>
      <c r="K283" t="s">
        <v>32</v>
      </c>
      <c r="L283" s="1">
        <v>43922</v>
      </c>
      <c r="M283">
        <v>0.15069211409395999</v>
      </c>
      <c r="N283">
        <v>7.0615927814829404E-4</v>
      </c>
    </row>
    <row r="284" spans="1:14" x14ac:dyDescent="0.25">
      <c r="A284" t="s">
        <v>309</v>
      </c>
      <c r="B284">
        <v>2225</v>
      </c>
      <c r="C284">
        <v>589</v>
      </c>
      <c r="D284">
        <v>7</v>
      </c>
      <c r="E284" t="s">
        <v>40</v>
      </c>
      <c r="F284" t="s">
        <v>52</v>
      </c>
      <c r="G284" t="s">
        <v>42</v>
      </c>
      <c r="H284" s="1">
        <v>43923</v>
      </c>
      <c r="I284" t="s">
        <v>310</v>
      </c>
      <c r="J284" t="s">
        <v>18</v>
      </c>
      <c r="K284" t="s">
        <v>32</v>
      </c>
      <c r="L284" s="1">
        <v>43922</v>
      </c>
      <c r="M284">
        <v>0.26471910112359498</v>
      </c>
      <c r="N284">
        <v>5.4923499411533899E-4</v>
      </c>
    </row>
    <row r="285" spans="1:14" x14ac:dyDescent="0.25">
      <c r="A285" t="s">
        <v>311</v>
      </c>
      <c r="B285">
        <v>9574</v>
      </c>
      <c r="C285">
        <v>4045</v>
      </c>
      <c r="D285">
        <v>19</v>
      </c>
      <c r="E285" t="s">
        <v>40</v>
      </c>
      <c r="F285" t="s">
        <v>91</v>
      </c>
      <c r="G285" t="s">
        <v>16</v>
      </c>
      <c r="H285" s="1">
        <v>45364</v>
      </c>
      <c r="I285" t="s">
        <v>312</v>
      </c>
      <c r="J285" t="s">
        <v>38</v>
      </c>
      <c r="K285" t="s">
        <v>79</v>
      </c>
      <c r="L285" s="1">
        <v>45352</v>
      </c>
      <c r="M285">
        <v>0.42249843325673703</v>
      </c>
      <c r="N285">
        <v>1.4907806983130601E-3</v>
      </c>
    </row>
    <row r="286" spans="1:14" x14ac:dyDescent="0.25">
      <c r="A286" t="s">
        <v>311</v>
      </c>
      <c r="B286">
        <v>4382</v>
      </c>
      <c r="C286">
        <v>482</v>
      </c>
      <c r="D286">
        <v>17</v>
      </c>
      <c r="E286" t="s">
        <v>14</v>
      </c>
      <c r="F286" t="s">
        <v>15</v>
      </c>
      <c r="G286" t="s">
        <v>57</v>
      </c>
      <c r="H286" s="1">
        <v>45364</v>
      </c>
      <c r="I286" t="s">
        <v>312</v>
      </c>
      <c r="J286" t="s">
        <v>38</v>
      </c>
      <c r="K286" t="s">
        <v>79</v>
      </c>
      <c r="L286" s="1">
        <v>45352</v>
      </c>
      <c r="M286">
        <v>0.10999543587403</v>
      </c>
      <c r="N286">
        <v>1.33385641428011E-3</v>
      </c>
    </row>
    <row r="287" spans="1:14" x14ac:dyDescent="0.25">
      <c r="A287" t="s">
        <v>313</v>
      </c>
      <c r="B287">
        <v>8200</v>
      </c>
      <c r="C287">
        <v>257</v>
      </c>
      <c r="D287">
        <v>19</v>
      </c>
      <c r="E287" t="s">
        <v>14</v>
      </c>
      <c r="F287" t="s">
        <v>35</v>
      </c>
      <c r="G287" t="s">
        <v>57</v>
      </c>
      <c r="H287" s="1">
        <v>45006</v>
      </c>
      <c r="I287" t="s">
        <v>314</v>
      </c>
      <c r="J287" t="s">
        <v>83</v>
      </c>
      <c r="K287" t="s">
        <v>90</v>
      </c>
      <c r="L287" s="1">
        <v>44986</v>
      </c>
      <c r="M287">
        <v>3.1341463414634098E-2</v>
      </c>
      <c r="N287">
        <v>1.4907806983130601E-3</v>
      </c>
    </row>
    <row r="288" spans="1:14" x14ac:dyDescent="0.25">
      <c r="A288" t="s">
        <v>313</v>
      </c>
      <c r="B288">
        <v>9316</v>
      </c>
      <c r="C288">
        <v>3003</v>
      </c>
      <c r="D288">
        <v>13</v>
      </c>
      <c r="E288" t="s">
        <v>40</v>
      </c>
      <c r="F288" t="s">
        <v>52</v>
      </c>
      <c r="G288" t="s">
        <v>42</v>
      </c>
      <c r="H288" s="1">
        <v>45006</v>
      </c>
      <c r="I288" t="s">
        <v>314</v>
      </c>
      <c r="J288" t="s">
        <v>83</v>
      </c>
      <c r="K288" t="s">
        <v>90</v>
      </c>
      <c r="L288" s="1">
        <v>44986</v>
      </c>
      <c r="M288">
        <v>0.32234864748819197</v>
      </c>
      <c r="N288">
        <v>1.0200078462141999E-3</v>
      </c>
    </row>
    <row r="289" spans="1:14" x14ac:dyDescent="0.25">
      <c r="A289" t="s">
        <v>313</v>
      </c>
      <c r="B289">
        <v>6379</v>
      </c>
      <c r="C289">
        <v>3128</v>
      </c>
      <c r="D289">
        <v>15</v>
      </c>
      <c r="E289" t="s">
        <v>14</v>
      </c>
      <c r="F289" t="s">
        <v>15</v>
      </c>
      <c r="G289" t="s">
        <v>57</v>
      </c>
      <c r="H289" s="1">
        <v>45006</v>
      </c>
      <c r="I289" t="s">
        <v>314</v>
      </c>
      <c r="J289" t="s">
        <v>83</v>
      </c>
      <c r="K289" t="s">
        <v>90</v>
      </c>
      <c r="L289" s="1">
        <v>44986</v>
      </c>
      <c r="M289">
        <v>0.49035899043737302</v>
      </c>
      <c r="N289">
        <v>1.17693213024716E-3</v>
      </c>
    </row>
    <row r="290" spans="1:14" x14ac:dyDescent="0.25">
      <c r="A290" t="s">
        <v>315</v>
      </c>
      <c r="B290">
        <v>3348</v>
      </c>
      <c r="C290">
        <v>568</v>
      </c>
      <c r="D290">
        <v>5</v>
      </c>
      <c r="E290" t="s">
        <v>28</v>
      </c>
      <c r="F290" t="s">
        <v>50</v>
      </c>
      <c r="G290" t="s">
        <v>42</v>
      </c>
      <c r="H290" s="1">
        <v>45353</v>
      </c>
      <c r="I290" t="s">
        <v>316</v>
      </c>
      <c r="J290" t="s">
        <v>83</v>
      </c>
      <c r="K290" t="s">
        <v>98</v>
      </c>
      <c r="L290" s="1">
        <v>45352</v>
      </c>
      <c r="M290">
        <v>0.169653524492234</v>
      </c>
      <c r="N290">
        <v>3.9231071008238503E-4</v>
      </c>
    </row>
    <row r="291" spans="1:14" x14ac:dyDescent="0.25">
      <c r="A291" t="s">
        <v>315</v>
      </c>
      <c r="B291">
        <v>3348</v>
      </c>
      <c r="C291">
        <v>568</v>
      </c>
      <c r="D291">
        <v>5</v>
      </c>
      <c r="E291" t="s">
        <v>28</v>
      </c>
      <c r="F291" t="s">
        <v>50</v>
      </c>
      <c r="G291" t="s">
        <v>42</v>
      </c>
      <c r="H291" s="1">
        <v>44316</v>
      </c>
      <c r="I291" t="s">
        <v>317</v>
      </c>
      <c r="J291" t="s">
        <v>24</v>
      </c>
      <c r="K291" t="s">
        <v>60</v>
      </c>
      <c r="L291" s="1">
        <v>44287</v>
      </c>
      <c r="M291">
        <v>0.169653524492234</v>
      </c>
      <c r="N291">
        <v>3.9231071008238503E-4</v>
      </c>
    </row>
    <row r="292" spans="1:14" x14ac:dyDescent="0.25">
      <c r="A292" t="s">
        <v>315</v>
      </c>
      <c r="B292">
        <v>8856</v>
      </c>
      <c r="C292">
        <v>2020</v>
      </c>
      <c r="D292">
        <v>9</v>
      </c>
      <c r="E292" t="s">
        <v>28</v>
      </c>
      <c r="F292" t="s">
        <v>29</v>
      </c>
      <c r="G292" t="s">
        <v>30</v>
      </c>
      <c r="H292" s="1">
        <v>45353</v>
      </c>
      <c r="I292" t="s">
        <v>316</v>
      </c>
      <c r="J292" t="s">
        <v>83</v>
      </c>
      <c r="K292" t="s">
        <v>98</v>
      </c>
      <c r="L292" s="1">
        <v>45352</v>
      </c>
      <c r="M292">
        <v>0.22809394760614299</v>
      </c>
      <c r="N292">
        <v>7.0615927814829404E-4</v>
      </c>
    </row>
    <row r="293" spans="1:14" x14ac:dyDescent="0.25">
      <c r="A293" t="s">
        <v>315</v>
      </c>
      <c r="B293">
        <v>8856</v>
      </c>
      <c r="C293">
        <v>2020</v>
      </c>
      <c r="D293">
        <v>9</v>
      </c>
      <c r="E293" t="s">
        <v>28</v>
      </c>
      <c r="F293" t="s">
        <v>29</v>
      </c>
      <c r="G293" t="s">
        <v>30</v>
      </c>
      <c r="H293" s="1">
        <v>44316</v>
      </c>
      <c r="I293" t="s">
        <v>317</v>
      </c>
      <c r="J293" t="s">
        <v>24</v>
      </c>
      <c r="K293" t="s">
        <v>60</v>
      </c>
      <c r="L293" s="1">
        <v>44287</v>
      </c>
      <c r="M293">
        <v>0.22809394760614299</v>
      </c>
      <c r="N293">
        <v>7.0615927814829404E-4</v>
      </c>
    </row>
    <row r="294" spans="1:14" x14ac:dyDescent="0.25">
      <c r="A294" t="s">
        <v>318</v>
      </c>
      <c r="B294">
        <v>1760</v>
      </c>
      <c r="C294">
        <v>619</v>
      </c>
      <c r="D294">
        <v>16</v>
      </c>
      <c r="E294" t="s">
        <v>40</v>
      </c>
      <c r="F294" t="s">
        <v>52</v>
      </c>
      <c r="G294" t="s">
        <v>30</v>
      </c>
      <c r="H294" s="1">
        <v>44454</v>
      </c>
      <c r="I294" t="s">
        <v>319</v>
      </c>
      <c r="J294" t="s">
        <v>83</v>
      </c>
      <c r="K294" t="s">
        <v>84</v>
      </c>
      <c r="L294" s="1">
        <v>44440</v>
      </c>
      <c r="M294">
        <v>0.35170454545454499</v>
      </c>
      <c r="N294">
        <v>1.25539427226363E-3</v>
      </c>
    </row>
    <row r="295" spans="1:14" x14ac:dyDescent="0.25">
      <c r="A295" t="s">
        <v>318</v>
      </c>
      <c r="B295">
        <v>1760</v>
      </c>
      <c r="C295">
        <v>619</v>
      </c>
      <c r="D295">
        <v>16</v>
      </c>
      <c r="E295" t="s">
        <v>40</v>
      </c>
      <c r="F295" t="s">
        <v>52</v>
      </c>
      <c r="G295" t="s">
        <v>30</v>
      </c>
      <c r="H295" s="1">
        <v>44954</v>
      </c>
      <c r="I295" t="s">
        <v>320</v>
      </c>
      <c r="J295" t="s">
        <v>63</v>
      </c>
      <c r="K295" t="s">
        <v>112</v>
      </c>
      <c r="L295" s="1">
        <v>44927</v>
      </c>
      <c r="M295">
        <v>0.35170454545454499</v>
      </c>
      <c r="N295">
        <v>1.25539427226363E-3</v>
      </c>
    </row>
    <row r="296" spans="1:14" x14ac:dyDescent="0.25">
      <c r="A296" t="s">
        <v>318</v>
      </c>
      <c r="B296">
        <v>6351</v>
      </c>
      <c r="C296">
        <v>986</v>
      </c>
      <c r="D296">
        <v>15</v>
      </c>
      <c r="E296" t="s">
        <v>14</v>
      </c>
      <c r="F296" t="s">
        <v>26</v>
      </c>
      <c r="G296" t="s">
        <v>16</v>
      </c>
      <c r="H296" s="1">
        <v>44454</v>
      </c>
      <c r="I296" t="s">
        <v>319</v>
      </c>
      <c r="J296" t="s">
        <v>83</v>
      </c>
      <c r="K296" t="s">
        <v>84</v>
      </c>
      <c r="L296" s="1">
        <v>44440</v>
      </c>
      <c r="M296">
        <v>0.15525114155251099</v>
      </c>
      <c r="N296">
        <v>1.17693213024716E-3</v>
      </c>
    </row>
    <row r="297" spans="1:14" x14ac:dyDescent="0.25">
      <c r="A297" t="s">
        <v>318</v>
      </c>
      <c r="B297">
        <v>6351</v>
      </c>
      <c r="C297">
        <v>986</v>
      </c>
      <c r="D297">
        <v>15</v>
      </c>
      <c r="E297" t="s">
        <v>14</v>
      </c>
      <c r="F297" t="s">
        <v>26</v>
      </c>
      <c r="G297" t="s">
        <v>16</v>
      </c>
      <c r="H297" s="1">
        <v>44954</v>
      </c>
      <c r="I297" t="s">
        <v>320</v>
      </c>
      <c r="J297" t="s">
        <v>63</v>
      </c>
      <c r="K297" t="s">
        <v>112</v>
      </c>
      <c r="L297" s="1">
        <v>44927</v>
      </c>
      <c r="M297">
        <v>0.15525114155251099</v>
      </c>
      <c r="N297">
        <v>1.17693213024716E-3</v>
      </c>
    </row>
    <row r="298" spans="1:14" x14ac:dyDescent="0.25">
      <c r="A298" t="s">
        <v>321</v>
      </c>
      <c r="B298">
        <v>869</v>
      </c>
      <c r="C298">
        <v>373</v>
      </c>
      <c r="D298">
        <v>14</v>
      </c>
      <c r="E298" t="s">
        <v>28</v>
      </c>
      <c r="F298" t="s">
        <v>56</v>
      </c>
      <c r="G298" t="s">
        <v>42</v>
      </c>
      <c r="H298" s="1">
        <v>44385</v>
      </c>
      <c r="I298" t="s">
        <v>322</v>
      </c>
      <c r="J298" t="s">
        <v>24</v>
      </c>
      <c r="K298" t="s">
        <v>46</v>
      </c>
      <c r="L298" s="1">
        <v>44378</v>
      </c>
      <c r="M298">
        <v>0.42922899884925197</v>
      </c>
      <c r="N298">
        <v>1.0984699882306799E-3</v>
      </c>
    </row>
    <row r="299" spans="1:14" x14ac:dyDescent="0.25">
      <c r="A299" t="s">
        <v>321</v>
      </c>
      <c r="B299">
        <v>869</v>
      </c>
      <c r="C299">
        <v>373</v>
      </c>
      <c r="D299">
        <v>14</v>
      </c>
      <c r="E299" t="s">
        <v>28</v>
      </c>
      <c r="F299" t="s">
        <v>56</v>
      </c>
      <c r="G299" t="s">
        <v>42</v>
      </c>
      <c r="H299" s="1">
        <v>43929</v>
      </c>
      <c r="I299" t="s">
        <v>323</v>
      </c>
      <c r="J299" t="s">
        <v>83</v>
      </c>
      <c r="K299" t="s">
        <v>98</v>
      </c>
      <c r="L299" s="1">
        <v>43922</v>
      </c>
      <c r="M299">
        <v>0.42922899884925197</v>
      </c>
      <c r="N299">
        <v>1.0984699882306799E-3</v>
      </c>
    </row>
    <row r="300" spans="1:14" x14ac:dyDescent="0.25">
      <c r="A300" t="s">
        <v>321</v>
      </c>
      <c r="B300">
        <v>1486</v>
      </c>
      <c r="C300">
        <v>114</v>
      </c>
      <c r="D300">
        <v>7</v>
      </c>
      <c r="E300" t="s">
        <v>40</v>
      </c>
      <c r="F300" t="s">
        <v>91</v>
      </c>
      <c r="G300" t="s">
        <v>16</v>
      </c>
      <c r="H300" s="1">
        <v>44385</v>
      </c>
      <c r="I300" t="s">
        <v>322</v>
      </c>
      <c r="J300" t="s">
        <v>24</v>
      </c>
      <c r="K300" t="s">
        <v>46</v>
      </c>
      <c r="L300" s="1">
        <v>44378</v>
      </c>
      <c r="M300">
        <v>7.6716016150740196E-2</v>
      </c>
      <c r="N300">
        <v>5.4923499411533899E-4</v>
      </c>
    </row>
    <row r="301" spans="1:14" x14ac:dyDescent="0.25">
      <c r="A301" t="s">
        <v>321</v>
      </c>
      <c r="B301">
        <v>1486</v>
      </c>
      <c r="C301">
        <v>114</v>
      </c>
      <c r="D301">
        <v>7</v>
      </c>
      <c r="E301" t="s">
        <v>40</v>
      </c>
      <c r="F301" t="s">
        <v>91</v>
      </c>
      <c r="G301" t="s">
        <v>16</v>
      </c>
      <c r="H301" s="1">
        <v>43929</v>
      </c>
      <c r="I301" t="s">
        <v>323</v>
      </c>
      <c r="J301" t="s">
        <v>83</v>
      </c>
      <c r="K301" t="s">
        <v>98</v>
      </c>
      <c r="L301" s="1">
        <v>43922</v>
      </c>
      <c r="M301">
        <v>7.6716016150740196E-2</v>
      </c>
      <c r="N301">
        <v>5.4923499411533899E-4</v>
      </c>
    </row>
    <row r="302" spans="1:14" x14ac:dyDescent="0.25">
      <c r="A302" t="s">
        <v>324</v>
      </c>
      <c r="B302">
        <v>2999</v>
      </c>
      <c r="C302">
        <v>145</v>
      </c>
      <c r="D302">
        <v>13</v>
      </c>
      <c r="E302" t="s">
        <v>28</v>
      </c>
      <c r="F302" t="s">
        <v>68</v>
      </c>
      <c r="G302" t="s">
        <v>57</v>
      </c>
      <c r="H302" s="1">
        <v>44796</v>
      </c>
      <c r="I302" t="s">
        <v>325</v>
      </c>
      <c r="J302" t="s">
        <v>21</v>
      </c>
      <c r="K302" t="s">
        <v>22</v>
      </c>
      <c r="L302" s="1">
        <v>44774</v>
      </c>
      <c r="M302">
        <v>4.8349449816605501E-2</v>
      </c>
      <c r="N302">
        <v>1.0200078462141999E-3</v>
      </c>
    </row>
    <row r="303" spans="1:14" x14ac:dyDescent="0.25">
      <c r="A303" t="s">
        <v>324</v>
      </c>
      <c r="B303">
        <v>5142</v>
      </c>
      <c r="C303">
        <v>1916</v>
      </c>
      <c r="D303">
        <v>20</v>
      </c>
      <c r="E303" t="s">
        <v>28</v>
      </c>
      <c r="F303" t="s">
        <v>56</v>
      </c>
      <c r="G303" t="s">
        <v>36</v>
      </c>
      <c r="H303" s="1">
        <v>44796</v>
      </c>
      <c r="I303" t="s">
        <v>325</v>
      </c>
      <c r="J303" t="s">
        <v>21</v>
      </c>
      <c r="K303" t="s">
        <v>22</v>
      </c>
      <c r="L303" s="1">
        <v>44774</v>
      </c>
      <c r="M303">
        <v>0.37261765849863898</v>
      </c>
      <c r="N303">
        <v>1.5692428403295401E-3</v>
      </c>
    </row>
    <row r="304" spans="1:14" x14ac:dyDescent="0.25">
      <c r="A304" t="s">
        <v>326</v>
      </c>
      <c r="B304">
        <v>1239</v>
      </c>
      <c r="C304">
        <v>575</v>
      </c>
      <c r="D304">
        <v>17</v>
      </c>
      <c r="E304" t="s">
        <v>14</v>
      </c>
      <c r="F304" t="s">
        <v>35</v>
      </c>
      <c r="G304" t="s">
        <v>16</v>
      </c>
      <c r="H304" s="1">
        <v>44912</v>
      </c>
      <c r="I304" t="s">
        <v>327</v>
      </c>
      <c r="J304" t="s">
        <v>24</v>
      </c>
      <c r="K304" t="s">
        <v>60</v>
      </c>
      <c r="L304" s="1">
        <v>44896</v>
      </c>
      <c r="M304">
        <v>0.46408393866021003</v>
      </c>
      <c r="N304">
        <v>1.33385641428011E-3</v>
      </c>
    </row>
    <row r="305" spans="1:14" x14ac:dyDescent="0.25">
      <c r="A305" t="s">
        <v>326</v>
      </c>
      <c r="B305">
        <v>1239</v>
      </c>
      <c r="C305">
        <v>575</v>
      </c>
      <c r="D305">
        <v>17</v>
      </c>
      <c r="E305" t="s">
        <v>14</v>
      </c>
      <c r="F305" t="s">
        <v>35</v>
      </c>
      <c r="G305" t="s">
        <v>16</v>
      </c>
      <c r="H305" s="1">
        <v>44720</v>
      </c>
      <c r="I305" t="s">
        <v>328</v>
      </c>
      <c r="J305" t="s">
        <v>21</v>
      </c>
      <c r="K305" t="s">
        <v>55</v>
      </c>
      <c r="L305" s="1">
        <v>44713</v>
      </c>
      <c r="M305">
        <v>0.46408393866021003</v>
      </c>
      <c r="N305">
        <v>1.33385641428011E-3</v>
      </c>
    </row>
    <row r="306" spans="1:14" x14ac:dyDescent="0.25">
      <c r="A306" t="s">
        <v>326</v>
      </c>
      <c r="B306">
        <v>1262</v>
      </c>
      <c r="C306">
        <v>515</v>
      </c>
      <c r="D306">
        <v>16</v>
      </c>
      <c r="E306" t="s">
        <v>14</v>
      </c>
      <c r="F306" t="s">
        <v>15</v>
      </c>
      <c r="G306" t="s">
        <v>36</v>
      </c>
      <c r="H306" s="1">
        <v>44912</v>
      </c>
      <c r="I306" t="s">
        <v>327</v>
      </c>
      <c r="J306" t="s">
        <v>24</v>
      </c>
      <c r="K306" t="s">
        <v>60</v>
      </c>
      <c r="L306" s="1">
        <v>44896</v>
      </c>
      <c r="M306">
        <v>0.40808240887480202</v>
      </c>
      <c r="N306">
        <v>1.25539427226363E-3</v>
      </c>
    </row>
    <row r="307" spans="1:14" x14ac:dyDescent="0.25">
      <c r="A307" t="s">
        <v>326</v>
      </c>
      <c r="B307">
        <v>1262</v>
      </c>
      <c r="C307">
        <v>515</v>
      </c>
      <c r="D307">
        <v>16</v>
      </c>
      <c r="E307" t="s">
        <v>14</v>
      </c>
      <c r="F307" t="s">
        <v>15</v>
      </c>
      <c r="G307" t="s">
        <v>36</v>
      </c>
      <c r="H307" s="1">
        <v>44720</v>
      </c>
      <c r="I307" t="s">
        <v>328</v>
      </c>
      <c r="J307" t="s">
        <v>21</v>
      </c>
      <c r="K307" t="s">
        <v>55</v>
      </c>
      <c r="L307" s="1">
        <v>44713</v>
      </c>
      <c r="M307">
        <v>0.40808240887480202</v>
      </c>
      <c r="N307">
        <v>1.25539427226363E-3</v>
      </c>
    </row>
    <row r="308" spans="1:14" x14ac:dyDescent="0.25">
      <c r="A308" t="s">
        <v>329</v>
      </c>
      <c r="B308">
        <v>1033</v>
      </c>
      <c r="C308">
        <v>254</v>
      </c>
      <c r="D308">
        <v>5</v>
      </c>
      <c r="E308" t="s">
        <v>40</v>
      </c>
      <c r="F308" t="s">
        <v>91</v>
      </c>
      <c r="G308" t="s">
        <v>57</v>
      </c>
      <c r="H308" s="1">
        <v>44071</v>
      </c>
      <c r="I308" t="s">
        <v>330</v>
      </c>
      <c r="J308" t="s">
        <v>24</v>
      </c>
      <c r="K308" t="s">
        <v>60</v>
      </c>
      <c r="L308" s="1">
        <v>44044</v>
      </c>
      <c r="M308">
        <v>0.24588576960309799</v>
      </c>
      <c r="N308">
        <v>3.9231071008238503E-4</v>
      </c>
    </row>
    <row r="309" spans="1:14" x14ac:dyDescent="0.25">
      <c r="A309" t="s">
        <v>331</v>
      </c>
      <c r="B309">
        <v>1518</v>
      </c>
      <c r="C309">
        <v>159</v>
      </c>
      <c r="D309">
        <v>19</v>
      </c>
      <c r="E309" t="s">
        <v>14</v>
      </c>
      <c r="F309" t="s">
        <v>26</v>
      </c>
      <c r="G309" t="s">
        <v>16</v>
      </c>
      <c r="H309" s="1">
        <v>44100</v>
      </c>
      <c r="I309" t="s">
        <v>332</v>
      </c>
      <c r="J309" t="s">
        <v>38</v>
      </c>
      <c r="K309" t="s">
        <v>66</v>
      </c>
      <c r="L309" s="1">
        <v>44075</v>
      </c>
      <c r="M309">
        <v>0.10474308300395301</v>
      </c>
      <c r="N309">
        <v>1.4907806983130601E-3</v>
      </c>
    </row>
    <row r="310" spans="1:14" x14ac:dyDescent="0.25">
      <c r="A310" t="s">
        <v>333</v>
      </c>
      <c r="B310">
        <v>8581</v>
      </c>
      <c r="C310">
        <v>2444</v>
      </c>
      <c r="D310">
        <v>2</v>
      </c>
      <c r="E310" t="s">
        <v>28</v>
      </c>
      <c r="F310" t="s">
        <v>56</v>
      </c>
      <c r="G310" t="s">
        <v>30</v>
      </c>
      <c r="H310" s="1">
        <v>44178</v>
      </c>
      <c r="I310" t="s">
        <v>334</v>
      </c>
      <c r="J310" t="s">
        <v>21</v>
      </c>
      <c r="K310" t="s">
        <v>138</v>
      </c>
      <c r="L310" s="1">
        <v>44166</v>
      </c>
      <c r="M310">
        <v>0.284815289593288</v>
      </c>
      <c r="N310">
        <v>1.5692428403295399E-4</v>
      </c>
    </row>
    <row r="311" spans="1:14" x14ac:dyDescent="0.25">
      <c r="A311" t="s">
        <v>333</v>
      </c>
      <c r="B311">
        <v>8581</v>
      </c>
      <c r="C311">
        <v>2444</v>
      </c>
      <c r="D311">
        <v>2</v>
      </c>
      <c r="E311" t="s">
        <v>28</v>
      </c>
      <c r="F311" t="s">
        <v>56</v>
      </c>
      <c r="G311" t="s">
        <v>30</v>
      </c>
      <c r="H311" s="1">
        <v>44154</v>
      </c>
      <c r="I311" t="s">
        <v>335</v>
      </c>
      <c r="J311" t="s">
        <v>18</v>
      </c>
      <c r="K311" t="s">
        <v>32</v>
      </c>
      <c r="L311" s="1">
        <v>44136</v>
      </c>
      <c r="M311">
        <v>0.284815289593288</v>
      </c>
      <c r="N311">
        <v>1.5692428403295399E-4</v>
      </c>
    </row>
    <row r="312" spans="1:14" x14ac:dyDescent="0.25">
      <c r="A312" t="s">
        <v>336</v>
      </c>
      <c r="B312">
        <v>1167</v>
      </c>
      <c r="C312">
        <v>463</v>
      </c>
      <c r="D312">
        <v>5</v>
      </c>
      <c r="E312" t="s">
        <v>28</v>
      </c>
      <c r="F312" t="s">
        <v>29</v>
      </c>
      <c r="G312" t="s">
        <v>16</v>
      </c>
      <c r="H312" s="1">
        <v>45182</v>
      </c>
      <c r="I312" t="s">
        <v>337</v>
      </c>
      <c r="J312" t="s">
        <v>63</v>
      </c>
      <c r="K312" t="s">
        <v>75</v>
      </c>
      <c r="L312" s="1">
        <v>45170</v>
      </c>
      <c r="M312">
        <v>0.39674378748928901</v>
      </c>
      <c r="N312">
        <v>3.9231071008238503E-4</v>
      </c>
    </row>
    <row r="313" spans="1:14" x14ac:dyDescent="0.25">
      <c r="A313" t="s">
        <v>336</v>
      </c>
      <c r="B313">
        <v>2841</v>
      </c>
      <c r="C313">
        <v>803</v>
      </c>
      <c r="D313">
        <v>20</v>
      </c>
      <c r="E313" t="s">
        <v>14</v>
      </c>
      <c r="F313" t="s">
        <v>35</v>
      </c>
      <c r="G313" t="s">
        <v>42</v>
      </c>
      <c r="H313" s="1">
        <v>45182</v>
      </c>
      <c r="I313" t="s">
        <v>337</v>
      </c>
      <c r="J313" t="s">
        <v>63</v>
      </c>
      <c r="K313" t="s">
        <v>75</v>
      </c>
      <c r="L313" s="1">
        <v>45170</v>
      </c>
      <c r="M313">
        <v>0.28264695529743</v>
      </c>
      <c r="N313">
        <v>1.5692428403295401E-3</v>
      </c>
    </row>
    <row r="314" spans="1:14" x14ac:dyDescent="0.25">
      <c r="A314" t="s">
        <v>336</v>
      </c>
      <c r="B314">
        <v>5680</v>
      </c>
      <c r="C314">
        <v>2159</v>
      </c>
      <c r="D314">
        <v>19</v>
      </c>
      <c r="E314" t="s">
        <v>40</v>
      </c>
      <c r="F314" t="s">
        <v>41</v>
      </c>
      <c r="G314" t="s">
        <v>16</v>
      </c>
      <c r="H314" s="1">
        <v>45182</v>
      </c>
      <c r="I314" t="s">
        <v>337</v>
      </c>
      <c r="J314" t="s">
        <v>63</v>
      </c>
      <c r="K314" t="s">
        <v>75</v>
      </c>
      <c r="L314" s="1">
        <v>45170</v>
      </c>
      <c r="M314">
        <v>0.38010563380281698</v>
      </c>
      <c r="N314">
        <v>1.4907806983130601E-3</v>
      </c>
    </row>
    <row r="315" spans="1:14" x14ac:dyDescent="0.25">
      <c r="A315" t="s">
        <v>338</v>
      </c>
      <c r="B315">
        <v>8204</v>
      </c>
      <c r="C315">
        <v>2382</v>
      </c>
      <c r="D315">
        <v>6</v>
      </c>
      <c r="E315" t="s">
        <v>28</v>
      </c>
      <c r="F315" t="s">
        <v>29</v>
      </c>
      <c r="G315" t="s">
        <v>16</v>
      </c>
      <c r="H315" s="1">
        <v>43921</v>
      </c>
      <c r="I315" t="s">
        <v>339</v>
      </c>
      <c r="J315" t="s">
        <v>21</v>
      </c>
      <c r="K315" t="s">
        <v>22</v>
      </c>
      <c r="L315" s="1">
        <v>43891</v>
      </c>
      <c r="M315">
        <v>0.29034617259873202</v>
      </c>
      <c r="N315">
        <v>4.7077285209886201E-4</v>
      </c>
    </row>
    <row r="316" spans="1:14" x14ac:dyDescent="0.25">
      <c r="A316" t="s">
        <v>338</v>
      </c>
      <c r="B316">
        <v>8204</v>
      </c>
      <c r="C316">
        <v>2382</v>
      </c>
      <c r="D316">
        <v>6</v>
      </c>
      <c r="E316" t="s">
        <v>28</v>
      </c>
      <c r="F316" t="s">
        <v>29</v>
      </c>
      <c r="G316" t="s">
        <v>16</v>
      </c>
      <c r="H316" s="1">
        <v>44124</v>
      </c>
      <c r="I316" t="s">
        <v>340</v>
      </c>
      <c r="J316" t="s">
        <v>24</v>
      </c>
      <c r="K316" t="s">
        <v>25</v>
      </c>
      <c r="L316" s="1">
        <v>44105</v>
      </c>
      <c r="M316">
        <v>0.29034617259873202</v>
      </c>
      <c r="N316">
        <v>4.7077285209886201E-4</v>
      </c>
    </row>
    <row r="317" spans="1:14" x14ac:dyDescent="0.25">
      <c r="A317" t="s">
        <v>338</v>
      </c>
      <c r="B317">
        <v>2850</v>
      </c>
      <c r="C317">
        <v>904</v>
      </c>
      <c r="D317">
        <v>6</v>
      </c>
      <c r="E317" t="s">
        <v>14</v>
      </c>
      <c r="F317" t="s">
        <v>71</v>
      </c>
      <c r="G317" t="s">
        <v>36</v>
      </c>
      <c r="H317" s="1">
        <v>43921</v>
      </c>
      <c r="I317" t="s">
        <v>339</v>
      </c>
      <c r="J317" t="s">
        <v>21</v>
      </c>
      <c r="K317" t="s">
        <v>22</v>
      </c>
      <c r="L317" s="1">
        <v>43891</v>
      </c>
      <c r="M317">
        <v>0.31719298245614003</v>
      </c>
      <c r="N317">
        <v>4.7077285209886201E-4</v>
      </c>
    </row>
    <row r="318" spans="1:14" x14ac:dyDescent="0.25">
      <c r="A318" t="s">
        <v>338</v>
      </c>
      <c r="B318">
        <v>2850</v>
      </c>
      <c r="C318">
        <v>904</v>
      </c>
      <c r="D318">
        <v>6</v>
      </c>
      <c r="E318" t="s">
        <v>14</v>
      </c>
      <c r="F318" t="s">
        <v>71</v>
      </c>
      <c r="G318" t="s">
        <v>36</v>
      </c>
      <c r="H318" s="1">
        <v>44124</v>
      </c>
      <c r="I318" t="s">
        <v>340</v>
      </c>
      <c r="J318" t="s">
        <v>24</v>
      </c>
      <c r="K318" t="s">
        <v>25</v>
      </c>
      <c r="L318" s="1">
        <v>44105</v>
      </c>
      <c r="M318">
        <v>0.31719298245614003</v>
      </c>
      <c r="N318">
        <v>4.7077285209886201E-4</v>
      </c>
    </row>
    <row r="319" spans="1:14" x14ac:dyDescent="0.25">
      <c r="A319" t="s">
        <v>341</v>
      </c>
      <c r="B319">
        <v>907</v>
      </c>
      <c r="C319">
        <v>391</v>
      </c>
      <c r="D319">
        <v>9</v>
      </c>
      <c r="E319" t="s">
        <v>28</v>
      </c>
      <c r="F319" t="s">
        <v>29</v>
      </c>
      <c r="G319" t="s">
        <v>42</v>
      </c>
      <c r="H319" s="1">
        <v>45142</v>
      </c>
      <c r="I319" t="s">
        <v>342</v>
      </c>
      <c r="J319" t="s">
        <v>24</v>
      </c>
      <c r="K319" t="s">
        <v>46</v>
      </c>
      <c r="L319" s="1">
        <v>45139</v>
      </c>
      <c r="M319">
        <v>0.43109151047409</v>
      </c>
      <c r="N319">
        <v>7.0615927814829404E-4</v>
      </c>
    </row>
    <row r="320" spans="1:14" x14ac:dyDescent="0.25">
      <c r="A320" t="s">
        <v>343</v>
      </c>
      <c r="B320">
        <v>2174</v>
      </c>
      <c r="C320">
        <v>265</v>
      </c>
      <c r="D320">
        <v>19</v>
      </c>
      <c r="E320" t="s">
        <v>28</v>
      </c>
      <c r="F320" t="s">
        <v>29</v>
      </c>
      <c r="G320" t="s">
        <v>42</v>
      </c>
      <c r="H320" s="1">
        <v>44662</v>
      </c>
      <c r="I320" t="s">
        <v>344</v>
      </c>
      <c r="J320" t="s">
        <v>83</v>
      </c>
      <c r="K320" t="s">
        <v>90</v>
      </c>
      <c r="L320" s="1">
        <v>44652</v>
      </c>
      <c r="M320">
        <v>0.121895124195032</v>
      </c>
      <c r="N320">
        <v>1.4907806983130601E-3</v>
      </c>
    </row>
    <row r="321" spans="1:14" x14ac:dyDescent="0.25">
      <c r="A321" t="s">
        <v>343</v>
      </c>
      <c r="B321">
        <v>8541</v>
      </c>
      <c r="C321">
        <v>2029</v>
      </c>
      <c r="D321">
        <v>12</v>
      </c>
      <c r="E321" t="s">
        <v>14</v>
      </c>
      <c r="F321" t="s">
        <v>15</v>
      </c>
      <c r="G321" t="s">
        <v>42</v>
      </c>
      <c r="H321" s="1">
        <v>44662</v>
      </c>
      <c r="I321" t="s">
        <v>344</v>
      </c>
      <c r="J321" t="s">
        <v>83</v>
      </c>
      <c r="K321" t="s">
        <v>90</v>
      </c>
      <c r="L321" s="1">
        <v>44652</v>
      </c>
      <c r="M321">
        <v>0.237560004683292</v>
      </c>
      <c r="N321">
        <v>9.4154570419772402E-4</v>
      </c>
    </row>
    <row r="322" spans="1:14" x14ac:dyDescent="0.25">
      <c r="A322" t="s">
        <v>343</v>
      </c>
      <c r="B322">
        <v>1931</v>
      </c>
      <c r="C322">
        <v>551</v>
      </c>
      <c r="D322">
        <v>3</v>
      </c>
      <c r="E322" t="s">
        <v>40</v>
      </c>
      <c r="F322" t="s">
        <v>91</v>
      </c>
      <c r="G322" t="s">
        <v>36</v>
      </c>
      <c r="H322" s="1">
        <v>44662</v>
      </c>
      <c r="I322" t="s">
        <v>344</v>
      </c>
      <c r="J322" t="s">
        <v>83</v>
      </c>
      <c r="K322" t="s">
        <v>90</v>
      </c>
      <c r="L322" s="1">
        <v>44652</v>
      </c>
      <c r="M322">
        <v>0.28534438114966298</v>
      </c>
      <c r="N322">
        <v>2.35386426049431E-4</v>
      </c>
    </row>
    <row r="323" spans="1:14" x14ac:dyDescent="0.25">
      <c r="A323" t="s">
        <v>345</v>
      </c>
      <c r="B323">
        <v>1281</v>
      </c>
      <c r="C323">
        <v>340</v>
      </c>
      <c r="D323">
        <v>3</v>
      </c>
      <c r="E323" t="s">
        <v>14</v>
      </c>
      <c r="F323" t="s">
        <v>15</v>
      </c>
      <c r="G323" t="s">
        <v>30</v>
      </c>
      <c r="H323" s="1">
        <v>44561</v>
      </c>
      <c r="I323" t="s">
        <v>346</v>
      </c>
      <c r="J323" t="s">
        <v>63</v>
      </c>
      <c r="K323" t="s">
        <v>75</v>
      </c>
      <c r="L323" s="1">
        <v>44531</v>
      </c>
      <c r="M323">
        <v>0.26541764246682298</v>
      </c>
      <c r="N323">
        <v>2.35386426049431E-4</v>
      </c>
    </row>
    <row r="324" spans="1:14" x14ac:dyDescent="0.25">
      <c r="A324" t="s">
        <v>345</v>
      </c>
      <c r="B324">
        <v>2404</v>
      </c>
      <c r="C324">
        <v>253</v>
      </c>
      <c r="D324">
        <v>15</v>
      </c>
      <c r="E324" t="s">
        <v>14</v>
      </c>
      <c r="F324" t="s">
        <v>35</v>
      </c>
      <c r="G324" t="s">
        <v>57</v>
      </c>
      <c r="H324" s="1">
        <v>44561</v>
      </c>
      <c r="I324" t="s">
        <v>346</v>
      </c>
      <c r="J324" t="s">
        <v>63</v>
      </c>
      <c r="K324" t="s">
        <v>75</v>
      </c>
      <c r="L324" s="1">
        <v>44531</v>
      </c>
      <c r="M324">
        <v>0.105241264559068</v>
      </c>
      <c r="N324">
        <v>1.17693213024716E-3</v>
      </c>
    </row>
    <row r="325" spans="1:14" x14ac:dyDescent="0.25">
      <c r="A325" t="s">
        <v>347</v>
      </c>
      <c r="B325">
        <v>2119</v>
      </c>
      <c r="C325">
        <v>196</v>
      </c>
      <c r="D325">
        <v>1</v>
      </c>
      <c r="E325" t="s">
        <v>40</v>
      </c>
      <c r="F325" t="s">
        <v>52</v>
      </c>
      <c r="G325" t="s">
        <v>57</v>
      </c>
      <c r="H325" s="1">
        <v>44059</v>
      </c>
      <c r="I325" t="s">
        <v>348</v>
      </c>
      <c r="J325" t="s">
        <v>38</v>
      </c>
      <c r="K325" t="s">
        <v>39</v>
      </c>
      <c r="L325" s="1">
        <v>44044</v>
      </c>
      <c r="M325">
        <v>9.2496460594620106E-2</v>
      </c>
      <c r="N325">
        <v>7.8462142016476997E-5</v>
      </c>
    </row>
    <row r="326" spans="1:14" x14ac:dyDescent="0.25">
      <c r="A326" t="s">
        <v>349</v>
      </c>
      <c r="B326">
        <v>3137</v>
      </c>
      <c r="C326">
        <v>571</v>
      </c>
      <c r="D326">
        <v>9</v>
      </c>
      <c r="E326" t="s">
        <v>28</v>
      </c>
      <c r="F326" t="s">
        <v>29</v>
      </c>
      <c r="G326" t="s">
        <v>30</v>
      </c>
      <c r="H326" s="1">
        <v>45690</v>
      </c>
      <c r="I326" t="s">
        <v>350</v>
      </c>
      <c r="J326" t="s">
        <v>21</v>
      </c>
      <c r="K326" t="s">
        <v>22</v>
      </c>
      <c r="L326" s="1">
        <v>45689</v>
      </c>
      <c r="M326">
        <v>0.18202103920943599</v>
      </c>
      <c r="N326">
        <v>7.0615927814829404E-4</v>
      </c>
    </row>
    <row r="327" spans="1:14" x14ac:dyDescent="0.25">
      <c r="A327" t="s">
        <v>351</v>
      </c>
      <c r="B327">
        <v>2323</v>
      </c>
      <c r="C327">
        <v>727</v>
      </c>
      <c r="D327">
        <v>7</v>
      </c>
      <c r="E327" t="s">
        <v>40</v>
      </c>
      <c r="F327" t="s">
        <v>41</v>
      </c>
      <c r="G327" t="s">
        <v>57</v>
      </c>
      <c r="H327" s="1">
        <v>44616</v>
      </c>
      <c r="I327" t="s">
        <v>352</v>
      </c>
      <c r="J327" t="s">
        <v>63</v>
      </c>
      <c r="K327" t="s">
        <v>64</v>
      </c>
      <c r="L327" s="1">
        <v>44593</v>
      </c>
      <c r="M327">
        <v>0.31295738269479101</v>
      </c>
      <c r="N327">
        <v>5.4923499411533899E-4</v>
      </c>
    </row>
    <row r="328" spans="1:14" x14ac:dyDescent="0.25">
      <c r="A328" t="s">
        <v>351</v>
      </c>
      <c r="B328">
        <v>1368</v>
      </c>
      <c r="C328">
        <v>406</v>
      </c>
      <c r="D328">
        <v>9</v>
      </c>
      <c r="E328" t="s">
        <v>40</v>
      </c>
      <c r="F328" t="s">
        <v>91</v>
      </c>
      <c r="G328" t="s">
        <v>16</v>
      </c>
      <c r="H328" s="1">
        <v>44616</v>
      </c>
      <c r="I328" t="s">
        <v>352</v>
      </c>
      <c r="J328" t="s">
        <v>63</v>
      </c>
      <c r="K328" t="s">
        <v>64</v>
      </c>
      <c r="L328" s="1">
        <v>44593</v>
      </c>
      <c r="M328">
        <v>0.29678362573099398</v>
      </c>
      <c r="N328">
        <v>7.0615927814829404E-4</v>
      </c>
    </row>
    <row r="329" spans="1:14" x14ac:dyDescent="0.25">
      <c r="A329" t="s">
        <v>353</v>
      </c>
      <c r="B329">
        <v>9204</v>
      </c>
      <c r="C329">
        <v>3289</v>
      </c>
      <c r="D329">
        <v>16</v>
      </c>
      <c r="E329" t="s">
        <v>14</v>
      </c>
      <c r="F329" t="s">
        <v>35</v>
      </c>
      <c r="G329" t="s">
        <v>42</v>
      </c>
      <c r="H329" s="1">
        <v>45347</v>
      </c>
      <c r="I329" t="s">
        <v>354</v>
      </c>
      <c r="J329" t="s">
        <v>18</v>
      </c>
      <c r="K329" t="s">
        <v>19</v>
      </c>
      <c r="L329" s="1">
        <v>45323</v>
      </c>
      <c r="M329">
        <v>0.35734463276836198</v>
      </c>
      <c r="N329">
        <v>1.25539427226363E-3</v>
      </c>
    </row>
    <row r="330" spans="1:14" x14ac:dyDescent="0.25">
      <c r="A330" t="s">
        <v>353</v>
      </c>
      <c r="B330">
        <v>9204</v>
      </c>
      <c r="C330">
        <v>3289</v>
      </c>
      <c r="D330">
        <v>16</v>
      </c>
      <c r="E330" t="s">
        <v>14</v>
      </c>
      <c r="F330" t="s">
        <v>35</v>
      </c>
      <c r="G330" t="s">
        <v>42</v>
      </c>
      <c r="H330" s="1">
        <v>44362</v>
      </c>
      <c r="I330" t="s">
        <v>355</v>
      </c>
      <c r="J330" t="s">
        <v>18</v>
      </c>
      <c r="K330" t="s">
        <v>19</v>
      </c>
      <c r="L330" s="1">
        <v>44348</v>
      </c>
      <c r="M330">
        <v>0.35734463276836198</v>
      </c>
      <c r="N330">
        <v>1.25539427226363E-3</v>
      </c>
    </row>
    <row r="331" spans="1:14" x14ac:dyDescent="0.25">
      <c r="A331" t="s">
        <v>353</v>
      </c>
      <c r="B331">
        <v>9894</v>
      </c>
      <c r="C331">
        <v>3698</v>
      </c>
      <c r="D331">
        <v>20</v>
      </c>
      <c r="E331" t="s">
        <v>28</v>
      </c>
      <c r="F331" t="s">
        <v>56</v>
      </c>
      <c r="G331" t="s">
        <v>36</v>
      </c>
      <c r="H331" s="1">
        <v>45347</v>
      </c>
      <c r="I331" t="s">
        <v>354</v>
      </c>
      <c r="J331" t="s">
        <v>18</v>
      </c>
      <c r="K331" t="s">
        <v>19</v>
      </c>
      <c r="L331" s="1">
        <v>45323</v>
      </c>
      <c r="M331">
        <v>0.37376187588437398</v>
      </c>
      <c r="N331">
        <v>1.5692428403295401E-3</v>
      </c>
    </row>
    <row r="332" spans="1:14" x14ac:dyDescent="0.25">
      <c r="A332" t="s">
        <v>353</v>
      </c>
      <c r="B332">
        <v>9894</v>
      </c>
      <c r="C332">
        <v>3698</v>
      </c>
      <c r="D332">
        <v>20</v>
      </c>
      <c r="E332" t="s">
        <v>28</v>
      </c>
      <c r="F332" t="s">
        <v>56</v>
      </c>
      <c r="G332" t="s">
        <v>36</v>
      </c>
      <c r="H332" s="1">
        <v>44362</v>
      </c>
      <c r="I332" t="s">
        <v>355</v>
      </c>
      <c r="J332" t="s">
        <v>18</v>
      </c>
      <c r="K332" t="s">
        <v>19</v>
      </c>
      <c r="L332" s="1">
        <v>44348</v>
      </c>
      <c r="M332">
        <v>0.37376187588437398</v>
      </c>
      <c r="N332">
        <v>1.5692428403295401E-3</v>
      </c>
    </row>
    <row r="333" spans="1:14" x14ac:dyDescent="0.25">
      <c r="A333" t="s">
        <v>356</v>
      </c>
      <c r="B333">
        <v>5322</v>
      </c>
      <c r="C333">
        <v>1423</v>
      </c>
      <c r="D333">
        <v>18</v>
      </c>
      <c r="E333" t="s">
        <v>40</v>
      </c>
      <c r="F333" t="s">
        <v>52</v>
      </c>
      <c r="G333" t="s">
        <v>57</v>
      </c>
      <c r="H333" s="1">
        <v>44903</v>
      </c>
      <c r="I333" t="s">
        <v>357</v>
      </c>
      <c r="J333" t="s">
        <v>63</v>
      </c>
      <c r="K333" t="s">
        <v>112</v>
      </c>
      <c r="L333" s="1">
        <v>44896</v>
      </c>
      <c r="M333">
        <v>0.26738068395340098</v>
      </c>
      <c r="N333">
        <v>1.41231855629659E-3</v>
      </c>
    </row>
    <row r="334" spans="1:14" x14ac:dyDescent="0.25">
      <c r="A334" t="s">
        <v>356</v>
      </c>
      <c r="B334">
        <v>5322</v>
      </c>
      <c r="C334">
        <v>1423</v>
      </c>
      <c r="D334">
        <v>18</v>
      </c>
      <c r="E334" t="s">
        <v>40</v>
      </c>
      <c r="F334" t="s">
        <v>52</v>
      </c>
      <c r="G334" t="s">
        <v>57</v>
      </c>
      <c r="H334" s="1">
        <v>45269</v>
      </c>
      <c r="I334" t="s">
        <v>358</v>
      </c>
      <c r="J334" t="s">
        <v>63</v>
      </c>
      <c r="K334" t="s">
        <v>64</v>
      </c>
      <c r="L334" s="1">
        <v>45261</v>
      </c>
      <c r="M334">
        <v>0.26738068395340098</v>
      </c>
      <c r="N334">
        <v>1.41231855629659E-3</v>
      </c>
    </row>
    <row r="335" spans="1:14" x14ac:dyDescent="0.25">
      <c r="A335" t="s">
        <v>359</v>
      </c>
      <c r="B335">
        <v>2666</v>
      </c>
      <c r="C335">
        <v>559</v>
      </c>
      <c r="D335">
        <v>14</v>
      </c>
      <c r="E335" t="s">
        <v>40</v>
      </c>
      <c r="F335" t="s">
        <v>44</v>
      </c>
      <c r="G335" t="s">
        <v>57</v>
      </c>
      <c r="H335" s="1">
        <v>44758</v>
      </c>
      <c r="I335" t="s">
        <v>360</v>
      </c>
      <c r="J335" t="s">
        <v>83</v>
      </c>
      <c r="K335" t="s">
        <v>98</v>
      </c>
      <c r="L335" s="1">
        <v>44743</v>
      </c>
      <c r="M335">
        <v>0.209677419354839</v>
      </c>
      <c r="N335">
        <v>1.0984699882306799E-3</v>
      </c>
    </row>
    <row r="336" spans="1:14" x14ac:dyDescent="0.25">
      <c r="A336" t="s">
        <v>361</v>
      </c>
      <c r="B336">
        <v>8383</v>
      </c>
      <c r="C336">
        <v>937</v>
      </c>
      <c r="D336">
        <v>4</v>
      </c>
      <c r="E336" t="s">
        <v>40</v>
      </c>
      <c r="F336" t="s">
        <v>52</v>
      </c>
      <c r="G336" t="s">
        <v>16</v>
      </c>
      <c r="H336" s="1">
        <v>45417</v>
      </c>
      <c r="I336" t="s">
        <v>362</v>
      </c>
      <c r="J336" t="s">
        <v>18</v>
      </c>
      <c r="K336" t="s">
        <v>32</v>
      </c>
      <c r="L336" s="1">
        <v>45413</v>
      </c>
      <c r="M336">
        <v>0.111773827985208</v>
      </c>
      <c r="N336">
        <v>3.1384856806590799E-4</v>
      </c>
    </row>
    <row r="337" spans="1:14" x14ac:dyDescent="0.25">
      <c r="A337" t="s">
        <v>363</v>
      </c>
      <c r="B337">
        <v>7560</v>
      </c>
      <c r="C337">
        <v>821</v>
      </c>
      <c r="D337">
        <v>4</v>
      </c>
      <c r="E337" t="s">
        <v>28</v>
      </c>
      <c r="F337" t="s">
        <v>56</v>
      </c>
      <c r="G337" t="s">
        <v>36</v>
      </c>
      <c r="H337" s="1">
        <v>44473</v>
      </c>
      <c r="I337" t="s">
        <v>364</v>
      </c>
      <c r="J337" t="s">
        <v>21</v>
      </c>
      <c r="K337" t="s">
        <v>22</v>
      </c>
      <c r="L337" s="1">
        <v>44470</v>
      </c>
      <c r="M337">
        <v>0.108597883597884</v>
      </c>
      <c r="N337">
        <v>3.1384856806590799E-4</v>
      </c>
    </row>
    <row r="338" spans="1:14" x14ac:dyDescent="0.25">
      <c r="A338" t="s">
        <v>365</v>
      </c>
      <c r="B338">
        <v>1314</v>
      </c>
      <c r="C338">
        <v>490</v>
      </c>
      <c r="D338">
        <v>16</v>
      </c>
      <c r="E338" t="s">
        <v>40</v>
      </c>
      <c r="F338" t="s">
        <v>52</v>
      </c>
      <c r="G338" t="s">
        <v>16</v>
      </c>
      <c r="H338" s="1">
        <v>44520</v>
      </c>
      <c r="I338" t="s">
        <v>366</v>
      </c>
      <c r="J338" t="s">
        <v>24</v>
      </c>
      <c r="K338" t="s">
        <v>25</v>
      </c>
      <c r="L338" s="1">
        <v>44501</v>
      </c>
      <c r="M338">
        <v>0.37290715372907202</v>
      </c>
      <c r="N338">
        <v>1.25539427226363E-3</v>
      </c>
    </row>
    <row r="339" spans="1:14" x14ac:dyDescent="0.25">
      <c r="A339" t="s">
        <v>365</v>
      </c>
      <c r="B339">
        <v>4390</v>
      </c>
      <c r="C339">
        <v>179</v>
      </c>
      <c r="D339">
        <v>1</v>
      </c>
      <c r="E339" t="s">
        <v>40</v>
      </c>
      <c r="F339" t="s">
        <v>41</v>
      </c>
      <c r="G339" t="s">
        <v>30</v>
      </c>
      <c r="H339" s="1">
        <v>44520</v>
      </c>
      <c r="I339" t="s">
        <v>366</v>
      </c>
      <c r="J339" t="s">
        <v>24</v>
      </c>
      <c r="K339" t="s">
        <v>25</v>
      </c>
      <c r="L339" s="1">
        <v>44501</v>
      </c>
      <c r="M339">
        <v>4.0774487471526198E-2</v>
      </c>
      <c r="N339">
        <v>7.8462142016476997E-5</v>
      </c>
    </row>
    <row r="340" spans="1:14" x14ac:dyDescent="0.25">
      <c r="A340" t="s">
        <v>365</v>
      </c>
      <c r="B340">
        <v>1150</v>
      </c>
      <c r="C340">
        <v>58</v>
      </c>
      <c r="D340">
        <v>7</v>
      </c>
      <c r="E340" t="s">
        <v>28</v>
      </c>
      <c r="F340" t="s">
        <v>68</v>
      </c>
      <c r="G340" t="s">
        <v>30</v>
      </c>
      <c r="H340" s="1">
        <v>44520</v>
      </c>
      <c r="I340" t="s">
        <v>366</v>
      </c>
      <c r="J340" t="s">
        <v>24</v>
      </c>
      <c r="K340" t="s">
        <v>25</v>
      </c>
      <c r="L340" s="1">
        <v>44501</v>
      </c>
      <c r="M340">
        <v>5.0434782608695702E-2</v>
      </c>
      <c r="N340">
        <v>5.4923499411533899E-4</v>
      </c>
    </row>
    <row r="341" spans="1:14" x14ac:dyDescent="0.25">
      <c r="A341" t="s">
        <v>367</v>
      </c>
      <c r="B341">
        <v>1574</v>
      </c>
      <c r="C341">
        <v>258</v>
      </c>
      <c r="D341">
        <v>17</v>
      </c>
      <c r="E341" t="s">
        <v>28</v>
      </c>
      <c r="F341" t="s">
        <v>29</v>
      </c>
      <c r="G341" t="s">
        <v>36</v>
      </c>
      <c r="H341" s="1">
        <v>44089</v>
      </c>
      <c r="I341" t="s">
        <v>368</v>
      </c>
      <c r="J341" t="s">
        <v>38</v>
      </c>
      <c r="K341" t="s">
        <v>66</v>
      </c>
      <c r="L341" s="1">
        <v>44075</v>
      </c>
      <c r="M341">
        <v>0.16391359593392599</v>
      </c>
      <c r="N341">
        <v>1.33385641428011E-3</v>
      </c>
    </row>
    <row r="342" spans="1:14" x14ac:dyDescent="0.25">
      <c r="A342" t="s">
        <v>367</v>
      </c>
      <c r="B342">
        <v>5635</v>
      </c>
      <c r="C342">
        <v>318</v>
      </c>
      <c r="D342">
        <v>17</v>
      </c>
      <c r="E342" t="s">
        <v>28</v>
      </c>
      <c r="F342" t="s">
        <v>68</v>
      </c>
      <c r="G342" t="s">
        <v>16</v>
      </c>
      <c r="H342" s="1">
        <v>44089</v>
      </c>
      <c r="I342" t="s">
        <v>368</v>
      </c>
      <c r="J342" t="s">
        <v>38</v>
      </c>
      <c r="K342" t="s">
        <v>66</v>
      </c>
      <c r="L342" s="1">
        <v>44075</v>
      </c>
      <c r="M342">
        <v>5.6433007985803002E-2</v>
      </c>
      <c r="N342">
        <v>1.33385641428011E-3</v>
      </c>
    </row>
    <row r="343" spans="1:14" x14ac:dyDescent="0.25">
      <c r="A343" t="s">
        <v>367</v>
      </c>
      <c r="B343">
        <v>6515</v>
      </c>
      <c r="C343">
        <v>961</v>
      </c>
      <c r="D343">
        <v>11</v>
      </c>
      <c r="E343" t="s">
        <v>40</v>
      </c>
      <c r="F343" t="s">
        <v>52</v>
      </c>
      <c r="G343" t="s">
        <v>30</v>
      </c>
      <c r="H343" s="1">
        <v>44089</v>
      </c>
      <c r="I343" t="s">
        <v>368</v>
      </c>
      <c r="J343" t="s">
        <v>38</v>
      </c>
      <c r="K343" t="s">
        <v>66</v>
      </c>
      <c r="L343" s="1">
        <v>44075</v>
      </c>
      <c r="M343">
        <v>0.14750575594781301</v>
      </c>
      <c r="N343">
        <v>8.6308356218124801E-4</v>
      </c>
    </row>
    <row r="344" spans="1:14" x14ac:dyDescent="0.25">
      <c r="A344" t="s">
        <v>369</v>
      </c>
      <c r="B344">
        <v>1231</v>
      </c>
      <c r="C344">
        <v>214</v>
      </c>
      <c r="D344">
        <v>20</v>
      </c>
      <c r="E344" t="s">
        <v>14</v>
      </c>
      <c r="F344" t="s">
        <v>35</v>
      </c>
      <c r="G344" t="s">
        <v>30</v>
      </c>
      <c r="H344" s="1">
        <v>44943</v>
      </c>
      <c r="I344" t="s">
        <v>370</v>
      </c>
      <c r="J344" t="s">
        <v>83</v>
      </c>
      <c r="K344" t="s">
        <v>84</v>
      </c>
      <c r="L344" s="1">
        <v>44927</v>
      </c>
      <c r="M344">
        <v>0.17384240454914701</v>
      </c>
      <c r="N344">
        <v>1.5692428403295401E-3</v>
      </c>
    </row>
    <row r="345" spans="1:14" x14ac:dyDescent="0.25">
      <c r="A345" t="s">
        <v>369</v>
      </c>
      <c r="B345">
        <v>1231</v>
      </c>
      <c r="C345">
        <v>214</v>
      </c>
      <c r="D345">
        <v>20</v>
      </c>
      <c r="E345" t="s">
        <v>14</v>
      </c>
      <c r="F345" t="s">
        <v>35</v>
      </c>
      <c r="G345" t="s">
        <v>30</v>
      </c>
      <c r="H345" s="1">
        <v>43998</v>
      </c>
      <c r="I345" t="s">
        <v>371</v>
      </c>
      <c r="J345" t="s">
        <v>24</v>
      </c>
      <c r="K345" t="s">
        <v>60</v>
      </c>
      <c r="L345" s="1">
        <v>43983</v>
      </c>
      <c r="M345">
        <v>0.17384240454914701</v>
      </c>
      <c r="N345">
        <v>1.5692428403295401E-3</v>
      </c>
    </row>
    <row r="346" spans="1:14" x14ac:dyDescent="0.25">
      <c r="A346" t="s">
        <v>372</v>
      </c>
      <c r="B346">
        <v>6891</v>
      </c>
      <c r="C346">
        <v>2529</v>
      </c>
      <c r="D346">
        <v>3</v>
      </c>
      <c r="E346" t="s">
        <v>28</v>
      </c>
      <c r="F346" t="s">
        <v>68</v>
      </c>
      <c r="G346" t="s">
        <v>30</v>
      </c>
      <c r="H346" s="1">
        <v>45413</v>
      </c>
      <c r="I346" t="s">
        <v>373</v>
      </c>
      <c r="J346" t="s">
        <v>83</v>
      </c>
      <c r="K346" t="s">
        <v>98</v>
      </c>
      <c r="L346" s="1">
        <v>45413</v>
      </c>
      <c r="M346">
        <v>0.36700043535045701</v>
      </c>
      <c r="N346">
        <v>2.35386426049431E-4</v>
      </c>
    </row>
    <row r="347" spans="1:14" x14ac:dyDescent="0.25">
      <c r="A347" t="s">
        <v>374</v>
      </c>
      <c r="B347">
        <v>7524</v>
      </c>
      <c r="C347">
        <v>2308</v>
      </c>
      <c r="D347">
        <v>15</v>
      </c>
      <c r="E347" t="s">
        <v>14</v>
      </c>
      <c r="F347" t="s">
        <v>35</v>
      </c>
      <c r="G347" t="s">
        <v>36</v>
      </c>
      <c r="H347" s="1">
        <v>45267</v>
      </c>
      <c r="I347" t="s">
        <v>375</v>
      </c>
      <c r="J347" t="s">
        <v>63</v>
      </c>
      <c r="K347" t="s">
        <v>75</v>
      </c>
      <c r="L347" s="1">
        <v>45261</v>
      </c>
      <c r="M347">
        <v>0.306751727804359</v>
      </c>
      <c r="N347">
        <v>1.17693213024716E-3</v>
      </c>
    </row>
    <row r="348" spans="1:14" x14ac:dyDescent="0.25">
      <c r="A348" t="s">
        <v>374</v>
      </c>
      <c r="B348">
        <v>6864</v>
      </c>
      <c r="C348">
        <v>1824</v>
      </c>
      <c r="D348">
        <v>14</v>
      </c>
      <c r="E348" t="s">
        <v>14</v>
      </c>
      <c r="F348" t="s">
        <v>26</v>
      </c>
      <c r="G348" t="s">
        <v>42</v>
      </c>
      <c r="H348" s="1">
        <v>45267</v>
      </c>
      <c r="I348" t="s">
        <v>375</v>
      </c>
      <c r="J348" t="s">
        <v>63</v>
      </c>
      <c r="K348" t="s">
        <v>75</v>
      </c>
      <c r="L348" s="1">
        <v>45261</v>
      </c>
      <c r="M348">
        <v>0.26573426573426601</v>
      </c>
      <c r="N348">
        <v>1.0984699882306799E-3</v>
      </c>
    </row>
    <row r="349" spans="1:14" x14ac:dyDescent="0.25">
      <c r="A349" t="s">
        <v>376</v>
      </c>
      <c r="B349">
        <v>4215</v>
      </c>
      <c r="C349">
        <v>432</v>
      </c>
      <c r="D349">
        <v>14</v>
      </c>
      <c r="E349" t="s">
        <v>40</v>
      </c>
      <c r="F349" t="s">
        <v>44</v>
      </c>
      <c r="G349" t="s">
        <v>30</v>
      </c>
      <c r="H349" s="1">
        <v>45324</v>
      </c>
      <c r="I349" t="s">
        <v>377</v>
      </c>
      <c r="J349" t="s">
        <v>83</v>
      </c>
      <c r="K349" t="s">
        <v>84</v>
      </c>
      <c r="L349" s="1">
        <v>45323</v>
      </c>
      <c r="M349">
        <v>0.102491103202847</v>
      </c>
      <c r="N349">
        <v>1.0984699882306799E-3</v>
      </c>
    </row>
    <row r="350" spans="1:14" x14ac:dyDescent="0.25">
      <c r="A350" t="s">
        <v>378</v>
      </c>
      <c r="B350">
        <v>622</v>
      </c>
      <c r="C350">
        <v>218</v>
      </c>
      <c r="D350">
        <v>19</v>
      </c>
      <c r="E350" t="s">
        <v>40</v>
      </c>
      <c r="F350" t="s">
        <v>91</v>
      </c>
      <c r="G350" t="s">
        <v>42</v>
      </c>
      <c r="H350" s="1">
        <v>45466</v>
      </c>
      <c r="I350" t="s">
        <v>379</v>
      </c>
      <c r="J350" t="s">
        <v>38</v>
      </c>
      <c r="K350" t="s">
        <v>66</v>
      </c>
      <c r="L350" s="1">
        <v>45444</v>
      </c>
      <c r="M350">
        <v>0.35048231511254002</v>
      </c>
      <c r="N350">
        <v>1.4907806983130601E-3</v>
      </c>
    </row>
    <row r="351" spans="1:14" x14ac:dyDescent="0.25">
      <c r="A351" t="s">
        <v>378</v>
      </c>
      <c r="B351">
        <v>1755</v>
      </c>
      <c r="C351">
        <v>495</v>
      </c>
      <c r="D351">
        <v>18</v>
      </c>
      <c r="E351" t="s">
        <v>28</v>
      </c>
      <c r="F351" t="s">
        <v>29</v>
      </c>
      <c r="G351" t="s">
        <v>16</v>
      </c>
      <c r="H351" s="1">
        <v>45466</v>
      </c>
      <c r="I351" t="s">
        <v>379</v>
      </c>
      <c r="J351" t="s">
        <v>38</v>
      </c>
      <c r="K351" t="s">
        <v>66</v>
      </c>
      <c r="L351" s="1">
        <v>45444</v>
      </c>
      <c r="M351">
        <v>0.28205128205128199</v>
      </c>
      <c r="N351">
        <v>1.41231855629659E-3</v>
      </c>
    </row>
    <row r="352" spans="1:14" x14ac:dyDescent="0.25">
      <c r="A352" t="s">
        <v>378</v>
      </c>
      <c r="B352">
        <v>8020</v>
      </c>
      <c r="C352">
        <v>3898</v>
      </c>
      <c r="D352">
        <v>20</v>
      </c>
      <c r="E352" t="s">
        <v>14</v>
      </c>
      <c r="F352" t="s">
        <v>15</v>
      </c>
      <c r="G352" t="s">
        <v>36</v>
      </c>
      <c r="H352" s="1">
        <v>45466</v>
      </c>
      <c r="I352" t="s">
        <v>379</v>
      </c>
      <c r="J352" t="s">
        <v>38</v>
      </c>
      <c r="K352" t="s">
        <v>66</v>
      </c>
      <c r="L352" s="1">
        <v>45444</v>
      </c>
      <c r="M352">
        <v>0.48603491271820398</v>
      </c>
      <c r="N352">
        <v>1.5692428403295401E-3</v>
      </c>
    </row>
    <row r="353" spans="1:14" x14ac:dyDescent="0.25">
      <c r="A353" t="s">
        <v>380</v>
      </c>
      <c r="B353">
        <v>7333</v>
      </c>
      <c r="C353">
        <v>1576</v>
      </c>
      <c r="D353">
        <v>4</v>
      </c>
      <c r="E353" t="s">
        <v>14</v>
      </c>
      <c r="F353" t="s">
        <v>35</v>
      </c>
      <c r="G353" t="s">
        <v>42</v>
      </c>
      <c r="H353" s="1">
        <v>45450</v>
      </c>
      <c r="I353" t="s">
        <v>381</v>
      </c>
      <c r="J353" t="s">
        <v>24</v>
      </c>
      <c r="K353" t="s">
        <v>25</v>
      </c>
      <c r="L353" s="1">
        <v>45444</v>
      </c>
      <c r="M353">
        <v>0.214918859948179</v>
      </c>
      <c r="N353">
        <v>3.1384856806590799E-4</v>
      </c>
    </row>
    <row r="354" spans="1:14" x14ac:dyDescent="0.25">
      <c r="A354" t="s">
        <v>382</v>
      </c>
      <c r="B354">
        <v>7690</v>
      </c>
      <c r="C354">
        <v>1134</v>
      </c>
      <c r="D354">
        <v>4</v>
      </c>
      <c r="E354" t="s">
        <v>14</v>
      </c>
      <c r="F354" t="s">
        <v>15</v>
      </c>
      <c r="G354" t="s">
        <v>57</v>
      </c>
      <c r="H354" s="1">
        <v>45212</v>
      </c>
      <c r="I354" t="s">
        <v>383</v>
      </c>
      <c r="J354" t="s">
        <v>24</v>
      </c>
      <c r="K354" t="s">
        <v>60</v>
      </c>
      <c r="L354" s="1">
        <v>45200</v>
      </c>
      <c r="M354">
        <v>0.14746423927178201</v>
      </c>
      <c r="N354">
        <v>3.1384856806590799E-4</v>
      </c>
    </row>
    <row r="355" spans="1:14" x14ac:dyDescent="0.25">
      <c r="A355" t="s">
        <v>382</v>
      </c>
      <c r="B355">
        <v>912</v>
      </c>
      <c r="C355">
        <v>246</v>
      </c>
      <c r="D355">
        <v>2</v>
      </c>
      <c r="E355" t="s">
        <v>40</v>
      </c>
      <c r="F355" t="s">
        <v>52</v>
      </c>
      <c r="G355" t="s">
        <v>36</v>
      </c>
      <c r="H355" s="1">
        <v>45212</v>
      </c>
      <c r="I355" t="s">
        <v>383</v>
      </c>
      <c r="J355" t="s">
        <v>24</v>
      </c>
      <c r="K355" t="s">
        <v>60</v>
      </c>
      <c r="L355" s="1">
        <v>45200</v>
      </c>
      <c r="M355">
        <v>0.269736842105263</v>
      </c>
      <c r="N355">
        <v>1.5692428403295399E-4</v>
      </c>
    </row>
    <row r="356" spans="1:14" x14ac:dyDescent="0.25">
      <c r="A356" t="s">
        <v>384</v>
      </c>
      <c r="B356">
        <v>2791</v>
      </c>
      <c r="C356">
        <v>894</v>
      </c>
      <c r="D356">
        <v>14</v>
      </c>
      <c r="E356" t="s">
        <v>14</v>
      </c>
      <c r="F356" t="s">
        <v>35</v>
      </c>
      <c r="G356" t="s">
        <v>57</v>
      </c>
      <c r="H356" s="1">
        <v>44842</v>
      </c>
      <c r="I356" t="s">
        <v>385</v>
      </c>
      <c r="J356" t="s">
        <v>63</v>
      </c>
      <c r="K356" t="s">
        <v>75</v>
      </c>
      <c r="L356" s="1">
        <v>44835</v>
      </c>
      <c r="M356">
        <v>0.320315299175923</v>
      </c>
      <c r="N356">
        <v>1.0984699882306799E-3</v>
      </c>
    </row>
    <row r="357" spans="1:14" x14ac:dyDescent="0.25">
      <c r="A357" t="s">
        <v>384</v>
      </c>
      <c r="B357">
        <v>2791</v>
      </c>
      <c r="C357">
        <v>894</v>
      </c>
      <c r="D357">
        <v>14</v>
      </c>
      <c r="E357" t="s">
        <v>14</v>
      </c>
      <c r="F357" t="s">
        <v>35</v>
      </c>
      <c r="G357" t="s">
        <v>57</v>
      </c>
      <c r="H357" s="1">
        <v>45226</v>
      </c>
      <c r="I357" t="s">
        <v>386</v>
      </c>
      <c r="J357" t="s">
        <v>83</v>
      </c>
      <c r="K357" t="s">
        <v>90</v>
      </c>
      <c r="L357" s="1">
        <v>45200</v>
      </c>
      <c r="M357">
        <v>0.320315299175923</v>
      </c>
      <c r="N357">
        <v>1.0984699882306799E-3</v>
      </c>
    </row>
    <row r="358" spans="1:14" x14ac:dyDescent="0.25">
      <c r="A358" t="s">
        <v>384</v>
      </c>
      <c r="B358">
        <v>2791</v>
      </c>
      <c r="C358">
        <v>894</v>
      </c>
      <c r="D358">
        <v>14</v>
      </c>
      <c r="E358" t="s">
        <v>14</v>
      </c>
      <c r="F358" t="s">
        <v>35</v>
      </c>
      <c r="G358" t="s">
        <v>57</v>
      </c>
      <c r="H358" s="1">
        <v>44236</v>
      </c>
      <c r="I358" t="s">
        <v>387</v>
      </c>
      <c r="J358" t="s">
        <v>63</v>
      </c>
      <c r="K358" t="s">
        <v>64</v>
      </c>
      <c r="L358" s="1">
        <v>44228</v>
      </c>
      <c r="M358">
        <v>0.320315299175923</v>
      </c>
      <c r="N358">
        <v>1.0984699882306799E-3</v>
      </c>
    </row>
    <row r="359" spans="1:14" x14ac:dyDescent="0.25">
      <c r="A359" t="s">
        <v>384</v>
      </c>
      <c r="B359">
        <v>6223</v>
      </c>
      <c r="C359">
        <v>1478</v>
      </c>
      <c r="D359">
        <v>3</v>
      </c>
      <c r="E359" t="s">
        <v>40</v>
      </c>
      <c r="F359" t="s">
        <v>52</v>
      </c>
      <c r="G359" t="s">
        <v>30</v>
      </c>
      <c r="H359" s="1">
        <v>44842</v>
      </c>
      <c r="I359" t="s">
        <v>385</v>
      </c>
      <c r="J359" t="s">
        <v>63</v>
      </c>
      <c r="K359" t="s">
        <v>75</v>
      </c>
      <c r="L359" s="1">
        <v>44835</v>
      </c>
      <c r="M359">
        <v>0.23750602603245999</v>
      </c>
      <c r="N359">
        <v>2.35386426049431E-4</v>
      </c>
    </row>
    <row r="360" spans="1:14" x14ac:dyDescent="0.25">
      <c r="A360" t="s">
        <v>384</v>
      </c>
      <c r="B360">
        <v>6223</v>
      </c>
      <c r="C360">
        <v>1478</v>
      </c>
      <c r="D360">
        <v>3</v>
      </c>
      <c r="E360" t="s">
        <v>40</v>
      </c>
      <c r="F360" t="s">
        <v>52</v>
      </c>
      <c r="G360" t="s">
        <v>30</v>
      </c>
      <c r="H360" s="1">
        <v>45226</v>
      </c>
      <c r="I360" t="s">
        <v>386</v>
      </c>
      <c r="J360" t="s">
        <v>83</v>
      </c>
      <c r="K360" t="s">
        <v>90</v>
      </c>
      <c r="L360" s="1">
        <v>45200</v>
      </c>
      <c r="M360">
        <v>0.23750602603245999</v>
      </c>
      <c r="N360">
        <v>2.35386426049431E-4</v>
      </c>
    </row>
    <row r="361" spans="1:14" x14ac:dyDescent="0.25">
      <c r="A361" t="s">
        <v>384</v>
      </c>
      <c r="B361">
        <v>6223</v>
      </c>
      <c r="C361">
        <v>1478</v>
      </c>
      <c r="D361">
        <v>3</v>
      </c>
      <c r="E361" t="s">
        <v>40</v>
      </c>
      <c r="F361" t="s">
        <v>52</v>
      </c>
      <c r="G361" t="s">
        <v>30</v>
      </c>
      <c r="H361" s="1">
        <v>44236</v>
      </c>
      <c r="I361" t="s">
        <v>387</v>
      </c>
      <c r="J361" t="s">
        <v>63</v>
      </c>
      <c r="K361" t="s">
        <v>64</v>
      </c>
      <c r="L361" s="1">
        <v>44228</v>
      </c>
      <c r="M361">
        <v>0.23750602603245999</v>
      </c>
      <c r="N361">
        <v>2.35386426049431E-4</v>
      </c>
    </row>
    <row r="362" spans="1:14" x14ac:dyDescent="0.25">
      <c r="A362" t="s">
        <v>384</v>
      </c>
      <c r="B362">
        <v>8943</v>
      </c>
      <c r="C362">
        <v>3121</v>
      </c>
      <c r="D362">
        <v>17</v>
      </c>
      <c r="E362" t="s">
        <v>40</v>
      </c>
      <c r="F362" t="s">
        <v>44</v>
      </c>
      <c r="G362" t="s">
        <v>30</v>
      </c>
      <c r="H362" s="1">
        <v>44842</v>
      </c>
      <c r="I362" t="s">
        <v>385</v>
      </c>
      <c r="J362" t="s">
        <v>63</v>
      </c>
      <c r="K362" t="s">
        <v>75</v>
      </c>
      <c r="L362" s="1">
        <v>44835</v>
      </c>
      <c r="M362">
        <v>0.34898803533489903</v>
      </c>
      <c r="N362">
        <v>1.33385641428011E-3</v>
      </c>
    </row>
    <row r="363" spans="1:14" x14ac:dyDescent="0.25">
      <c r="A363" t="s">
        <v>384</v>
      </c>
      <c r="B363">
        <v>8943</v>
      </c>
      <c r="C363">
        <v>3121</v>
      </c>
      <c r="D363">
        <v>17</v>
      </c>
      <c r="E363" t="s">
        <v>40</v>
      </c>
      <c r="F363" t="s">
        <v>44</v>
      </c>
      <c r="G363" t="s">
        <v>30</v>
      </c>
      <c r="H363" s="1">
        <v>45226</v>
      </c>
      <c r="I363" t="s">
        <v>386</v>
      </c>
      <c r="J363" t="s">
        <v>83</v>
      </c>
      <c r="K363" t="s">
        <v>90</v>
      </c>
      <c r="L363" s="1">
        <v>45200</v>
      </c>
      <c r="M363">
        <v>0.34898803533489903</v>
      </c>
      <c r="N363">
        <v>1.33385641428011E-3</v>
      </c>
    </row>
    <row r="364" spans="1:14" x14ac:dyDescent="0.25">
      <c r="A364" t="s">
        <v>384</v>
      </c>
      <c r="B364">
        <v>8943</v>
      </c>
      <c r="C364">
        <v>3121</v>
      </c>
      <c r="D364">
        <v>17</v>
      </c>
      <c r="E364" t="s">
        <v>40</v>
      </c>
      <c r="F364" t="s">
        <v>44</v>
      </c>
      <c r="G364" t="s">
        <v>30</v>
      </c>
      <c r="H364" s="1">
        <v>44236</v>
      </c>
      <c r="I364" t="s">
        <v>387</v>
      </c>
      <c r="J364" t="s">
        <v>63</v>
      </c>
      <c r="K364" t="s">
        <v>64</v>
      </c>
      <c r="L364" s="1">
        <v>44228</v>
      </c>
      <c r="M364">
        <v>0.34898803533489903</v>
      </c>
      <c r="N364">
        <v>1.33385641428011E-3</v>
      </c>
    </row>
    <row r="365" spans="1:14" x14ac:dyDescent="0.25">
      <c r="A365" t="s">
        <v>384</v>
      </c>
      <c r="B365">
        <v>3297</v>
      </c>
      <c r="C365">
        <v>102</v>
      </c>
      <c r="D365">
        <v>12</v>
      </c>
      <c r="E365" t="s">
        <v>14</v>
      </c>
      <c r="F365" t="s">
        <v>71</v>
      </c>
      <c r="G365" t="s">
        <v>42</v>
      </c>
      <c r="H365" s="1">
        <v>44842</v>
      </c>
      <c r="I365" t="s">
        <v>385</v>
      </c>
      <c r="J365" t="s">
        <v>63</v>
      </c>
      <c r="K365" t="s">
        <v>75</v>
      </c>
      <c r="L365" s="1">
        <v>44835</v>
      </c>
      <c r="M365">
        <v>3.0937215650591401E-2</v>
      </c>
      <c r="N365">
        <v>9.4154570419772402E-4</v>
      </c>
    </row>
    <row r="366" spans="1:14" x14ac:dyDescent="0.25">
      <c r="A366" t="s">
        <v>384</v>
      </c>
      <c r="B366">
        <v>3297</v>
      </c>
      <c r="C366">
        <v>102</v>
      </c>
      <c r="D366">
        <v>12</v>
      </c>
      <c r="E366" t="s">
        <v>14</v>
      </c>
      <c r="F366" t="s">
        <v>71</v>
      </c>
      <c r="G366" t="s">
        <v>42</v>
      </c>
      <c r="H366" s="1">
        <v>45226</v>
      </c>
      <c r="I366" t="s">
        <v>386</v>
      </c>
      <c r="J366" t="s">
        <v>83</v>
      </c>
      <c r="K366" t="s">
        <v>90</v>
      </c>
      <c r="L366" s="1">
        <v>45200</v>
      </c>
      <c r="M366">
        <v>3.0937215650591401E-2</v>
      </c>
      <c r="N366">
        <v>9.4154570419772402E-4</v>
      </c>
    </row>
    <row r="367" spans="1:14" x14ac:dyDescent="0.25">
      <c r="A367" t="s">
        <v>384</v>
      </c>
      <c r="B367">
        <v>3297</v>
      </c>
      <c r="C367">
        <v>102</v>
      </c>
      <c r="D367">
        <v>12</v>
      </c>
      <c r="E367" t="s">
        <v>14</v>
      </c>
      <c r="F367" t="s">
        <v>71</v>
      </c>
      <c r="G367" t="s">
        <v>42</v>
      </c>
      <c r="H367" s="1">
        <v>44236</v>
      </c>
      <c r="I367" t="s">
        <v>387</v>
      </c>
      <c r="J367" t="s">
        <v>63</v>
      </c>
      <c r="K367" t="s">
        <v>64</v>
      </c>
      <c r="L367" s="1">
        <v>44228</v>
      </c>
      <c r="M367">
        <v>3.0937215650591401E-2</v>
      </c>
      <c r="N367">
        <v>9.4154570419772402E-4</v>
      </c>
    </row>
    <row r="368" spans="1:14" x14ac:dyDescent="0.25">
      <c r="A368" t="s">
        <v>388</v>
      </c>
      <c r="B368">
        <v>8769</v>
      </c>
      <c r="C368">
        <v>1989</v>
      </c>
      <c r="D368">
        <v>20</v>
      </c>
      <c r="E368" t="s">
        <v>28</v>
      </c>
      <c r="F368" t="s">
        <v>56</v>
      </c>
      <c r="G368" t="s">
        <v>16</v>
      </c>
      <c r="H368" s="1">
        <v>44138</v>
      </c>
      <c r="I368" t="s">
        <v>389</v>
      </c>
      <c r="J368" t="s">
        <v>21</v>
      </c>
      <c r="K368" t="s">
        <v>22</v>
      </c>
      <c r="L368" s="1">
        <v>44136</v>
      </c>
      <c r="M368">
        <v>0.22682175846732799</v>
      </c>
      <c r="N368">
        <v>1.5692428403295401E-3</v>
      </c>
    </row>
    <row r="369" spans="1:14" x14ac:dyDescent="0.25">
      <c r="A369" t="s">
        <v>390</v>
      </c>
      <c r="B369">
        <v>9057</v>
      </c>
      <c r="C369">
        <v>1888</v>
      </c>
      <c r="D369">
        <v>19</v>
      </c>
      <c r="E369" t="s">
        <v>14</v>
      </c>
      <c r="F369" t="s">
        <v>26</v>
      </c>
      <c r="G369" t="s">
        <v>57</v>
      </c>
      <c r="H369" s="1">
        <v>44711</v>
      </c>
      <c r="I369" t="s">
        <v>391</v>
      </c>
      <c r="J369" t="s">
        <v>18</v>
      </c>
      <c r="K369" t="s">
        <v>32</v>
      </c>
      <c r="L369" s="1">
        <v>44682</v>
      </c>
      <c r="M369">
        <v>0.20845754664900101</v>
      </c>
      <c r="N369">
        <v>1.4907806983130601E-3</v>
      </c>
    </row>
    <row r="370" spans="1:14" x14ac:dyDescent="0.25">
      <c r="A370" t="s">
        <v>390</v>
      </c>
      <c r="B370">
        <v>6864</v>
      </c>
      <c r="C370">
        <v>3275</v>
      </c>
      <c r="D370">
        <v>11</v>
      </c>
      <c r="E370" t="s">
        <v>40</v>
      </c>
      <c r="F370" t="s">
        <v>41</v>
      </c>
      <c r="G370" t="s">
        <v>42</v>
      </c>
      <c r="H370" s="1">
        <v>44711</v>
      </c>
      <c r="I370" t="s">
        <v>391</v>
      </c>
      <c r="J370" t="s">
        <v>18</v>
      </c>
      <c r="K370" t="s">
        <v>32</v>
      </c>
      <c r="L370" s="1">
        <v>44682</v>
      </c>
      <c r="M370">
        <v>0.47712703962704001</v>
      </c>
      <c r="N370">
        <v>8.6308356218124801E-4</v>
      </c>
    </row>
    <row r="371" spans="1:14" x14ac:dyDescent="0.25">
      <c r="A371" t="s">
        <v>390</v>
      </c>
      <c r="B371">
        <v>9200</v>
      </c>
      <c r="C371">
        <v>809</v>
      </c>
      <c r="D371">
        <v>13</v>
      </c>
      <c r="E371" t="s">
        <v>14</v>
      </c>
      <c r="F371" t="s">
        <v>35</v>
      </c>
      <c r="G371" t="s">
        <v>57</v>
      </c>
      <c r="H371" s="1">
        <v>44711</v>
      </c>
      <c r="I371" t="s">
        <v>391</v>
      </c>
      <c r="J371" t="s">
        <v>18</v>
      </c>
      <c r="K371" t="s">
        <v>32</v>
      </c>
      <c r="L371" s="1">
        <v>44682</v>
      </c>
      <c r="M371">
        <v>8.7934782608695597E-2</v>
      </c>
      <c r="N371">
        <v>1.0200078462141999E-3</v>
      </c>
    </row>
    <row r="372" spans="1:14" x14ac:dyDescent="0.25">
      <c r="A372" t="s">
        <v>392</v>
      </c>
      <c r="B372">
        <v>6113</v>
      </c>
      <c r="C372">
        <v>2508</v>
      </c>
      <c r="D372">
        <v>6</v>
      </c>
      <c r="E372" t="s">
        <v>14</v>
      </c>
      <c r="F372" t="s">
        <v>35</v>
      </c>
      <c r="G372" t="s">
        <v>16</v>
      </c>
      <c r="H372" s="1">
        <v>45459</v>
      </c>
      <c r="I372" t="s">
        <v>393</v>
      </c>
      <c r="J372" t="s">
        <v>18</v>
      </c>
      <c r="K372" t="s">
        <v>32</v>
      </c>
      <c r="L372" s="1">
        <v>45444</v>
      </c>
      <c r="M372">
        <v>0.41027318828725701</v>
      </c>
      <c r="N372">
        <v>4.7077285209886201E-4</v>
      </c>
    </row>
    <row r="373" spans="1:14" x14ac:dyDescent="0.25">
      <c r="A373" t="s">
        <v>392</v>
      </c>
      <c r="B373">
        <v>7733</v>
      </c>
      <c r="C373">
        <v>2784</v>
      </c>
      <c r="D373">
        <v>15</v>
      </c>
      <c r="E373" t="s">
        <v>40</v>
      </c>
      <c r="F373" t="s">
        <v>41</v>
      </c>
      <c r="G373" t="s">
        <v>36</v>
      </c>
      <c r="H373" s="1">
        <v>45459</v>
      </c>
      <c r="I373" t="s">
        <v>393</v>
      </c>
      <c r="J373" t="s">
        <v>18</v>
      </c>
      <c r="K373" t="s">
        <v>32</v>
      </c>
      <c r="L373" s="1">
        <v>45444</v>
      </c>
      <c r="M373">
        <v>0.36001551791025499</v>
      </c>
      <c r="N373">
        <v>1.17693213024716E-3</v>
      </c>
    </row>
    <row r="374" spans="1:14" x14ac:dyDescent="0.25">
      <c r="A374" t="s">
        <v>392</v>
      </c>
      <c r="B374">
        <v>8524</v>
      </c>
      <c r="C374">
        <v>154</v>
      </c>
      <c r="D374">
        <v>14</v>
      </c>
      <c r="E374" t="s">
        <v>40</v>
      </c>
      <c r="F374" t="s">
        <v>41</v>
      </c>
      <c r="G374" t="s">
        <v>57</v>
      </c>
      <c r="H374" s="1">
        <v>45459</v>
      </c>
      <c r="I374" t="s">
        <v>393</v>
      </c>
      <c r="J374" t="s">
        <v>18</v>
      </c>
      <c r="K374" t="s">
        <v>32</v>
      </c>
      <c r="L374" s="1">
        <v>45444</v>
      </c>
      <c r="M374">
        <v>1.8066635382449601E-2</v>
      </c>
      <c r="N374">
        <v>1.0984699882306799E-3</v>
      </c>
    </row>
    <row r="375" spans="1:14" x14ac:dyDescent="0.25">
      <c r="A375" t="s">
        <v>392</v>
      </c>
      <c r="B375">
        <v>6187</v>
      </c>
      <c r="C375">
        <v>2344</v>
      </c>
      <c r="D375">
        <v>15</v>
      </c>
      <c r="E375" t="s">
        <v>40</v>
      </c>
      <c r="F375" t="s">
        <v>91</v>
      </c>
      <c r="G375" t="s">
        <v>36</v>
      </c>
      <c r="H375" s="1">
        <v>45459</v>
      </c>
      <c r="I375" t="s">
        <v>393</v>
      </c>
      <c r="J375" t="s">
        <v>18</v>
      </c>
      <c r="K375" t="s">
        <v>32</v>
      </c>
      <c r="L375" s="1">
        <v>45444</v>
      </c>
      <c r="M375">
        <v>0.37885889768870201</v>
      </c>
      <c r="N375">
        <v>1.17693213024716E-3</v>
      </c>
    </row>
    <row r="376" spans="1:14" x14ac:dyDescent="0.25">
      <c r="A376" t="s">
        <v>394</v>
      </c>
      <c r="B376">
        <v>4364</v>
      </c>
      <c r="C376">
        <v>148</v>
      </c>
      <c r="D376">
        <v>18</v>
      </c>
      <c r="E376" t="s">
        <v>40</v>
      </c>
      <c r="F376" t="s">
        <v>41</v>
      </c>
      <c r="G376" t="s">
        <v>36</v>
      </c>
      <c r="H376" s="1">
        <v>44757</v>
      </c>
      <c r="I376" t="s">
        <v>395</v>
      </c>
      <c r="J376" t="s">
        <v>83</v>
      </c>
      <c r="K376" t="s">
        <v>90</v>
      </c>
      <c r="L376" s="1">
        <v>44743</v>
      </c>
      <c r="M376">
        <v>3.3913840513290598E-2</v>
      </c>
      <c r="N376">
        <v>1.41231855629659E-3</v>
      </c>
    </row>
    <row r="377" spans="1:14" x14ac:dyDescent="0.25">
      <c r="A377" t="s">
        <v>394</v>
      </c>
      <c r="B377">
        <v>736</v>
      </c>
      <c r="C377">
        <v>286</v>
      </c>
      <c r="D377">
        <v>12</v>
      </c>
      <c r="E377" t="s">
        <v>28</v>
      </c>
      <c r="F377" t="s">
        <v>29</v>
      </c>
      <c r="G377" t="s">
        <v>36</v>
      </c>
      <c r="H377" s="1">
        <v>44757</v>
      </c>
      <c r="I377" t="s">
        <v>395</v>
      </c>
      <c r="J377" t="s">
        <v>83</v>
      </c>
      <c r="K377" t="s">
        <v>90</v>
      </c>
      <c r="L377" s="1">
        <v>44743</v>
      </c>
      <c r="M377">
        <v>0.38858695652173902</v>
      </c>
      <c r="N377">
        <v>9.4154570419772402E-4</v>
      </c>
    </row>
    <row r="378" spans="1:14" x14ac:dyDescent="0.25">
      <c r="A378" t="s">
        <v>396</v>
      </c>
      <c r="B378">
        <v>9905</v>
      </c>
      <c r="C378">
        <v>633</v>
      </c>
      <c r="D378">
        <v>17</v>
      </c>
      <c r="E378" t="s">
        <v>28</v>
      </c>
      <c r="F378" t="s">
        <v>29</v>
      </c>
      <c r="G378" t="s">
        <v>36</v>
      </c>
      <c r="H378" s="1">
        <v>44395</v>
      </c>
      <c r="I378" t="s">
        <v>397</v>
      </c>
      <c r="J378" t="s">
        <v>63</v>
      </c>
      <c r="K378" t="s">
        <v>64</v>
      </c>
      <c r="L378" s="1">
        <v>44378</v>
      </c>
      <c r="M378">
        <v>6.3907117617365006E-2</v>
      </c>
      <c r="N378">
        <v>1.33385641428011E-3</v>
      </c>
    </row>
    <row r="379" spans="1:14" x14ac:dyDescent="0.25">
      <c r="A379" t="s">
        <v>396</v>
      </c>
      <c r="B379">
        <v>9905</v>
      </c>
      <c r="C379">
        <v>633</v>
      </c>
      <c r="D379">
        <v>17</v>
      </c>
      <c r="E379" t="s">
        <v>28</v>
      </c>
      <c r="F379" t="s">
        <v>29</v>
      </c>
      <c r="G379" t="s">
        <v>36</v>
      </c>
      <c r="H379" s="1">
        <v>44471</v>
      </c>
      <c r="I379" t="s">
        <v>398</v>
      </c>
      <c r="J379" t="s">
        <v>18</v>
      </c>
      <c r="K379" t="s">
        <v>122</v>
      </c>
      <c r="L379" s="1">
        <v>44470</v>
      </c>
      <c r="M379">
        <v>6.3907117617365006E-2</v>
      </c>
      <c r="N379">
        <v>1.33385641428011E-3</v>
      </c>
    </row>
    <row r="380" spans="1:14" x14ac:dyDescent="0.25">
      <c r="A380" t="s">
        <v>399</v>
      </c>
      <c r="B380">
        <v>2493</v>
      </c>
      <c r="C380">
        <v>1221</v>
      </c>
      <c r="D380">
        <v>9</v>
      </c>
      <c r="E380" t="s">
        <v>28</v>
      </c>
      <c r="F380" t="s">
        <v>56</v>
      </c>
      <c r="G380" t="s">
        <v>42</v>
      </c>
      <c r="H380" s="1">
        <v>45398</v>
      </c>
      <c r="I380" t="s">
        <v>400</v>
      </c>
      <c r="J380" t="s">
        <v>21</v>
      </c>
      <c r="K380" t="s">
        <v>55</v>
      </c>
      <c r="L380" s="1">
        <v>45383</v>
      </c>
      <c r="M380">
        <v>0.489771359807461</v>
      </c>
      <c r="N380">
        <v>7.0615927814829404E-4</v>
      </c>
    </row>
    <row r="381" spans="1:14" x14ac:dyDescent="0.25">
      <c r="A381" t="s">
        <v>399</v>
      </c>
      <c r="B381">
        <v>9849</v>
      </c>
      <c r="C381">
        <v>963</v>
      </c>
      <c r="D381">
        <v>1</v>
      </c>
      <c r="E381" t="s">
        <v>28</v>
      </c>
      <c r="F381" t="s">
        <v>29</v>
      </c>
      <c r="G381" t="s">
        <v>42</v>
      </c>
      <c r="H381" s="1">
        <v>45398</v>
      </c>
      <c r="I381" t="s">
        <v>400</v>
      </c>
      <c r="J381" t="s">
        <v>21</v>
      </c>
      <c r="K381" t="s">
        <v>55</v>
      </c>
      <c r="L381" s="1">
        <v>45383</v>
      </c>
      <c r="M381">
        <v>9.7776424002436801E-2</v>
      </c>
      <c r="N381">
        <v>7.8462142016476997E-5</v>
      </c>
    </row>
    <row r="382" spans="1:14" x14ac:dyDescent="0.25">
      <c r="A382" t="s">
        <v>401</v>
      </c>
      <c r="B382">
        <v>3423</v>
      </c>
      <c r="C382">
        <v>804</v>
      </c>
      <c r="D382">
        <v>4</v>
      </c>
      <c r="E382" t="s">
        <v>14</v>
      </c>
      <c r="F382" t="s">
        <v>26</v>
      </c>
      <c r="G382" t="s">
        <v>42</v>
      </c>
      <c r="H382" s="1">
        <v>44021</v>
      </c>
      <c r="I382" t="s">
        <v>402</v>
      </c>
      <c r="J382" t="s">
        <v>21</v>
      </c>
      <c r="K382" t="s">
        <v>138</v>
      </c>
      <c r="L382" s="1">
        <v>44013</v>
      </c>
      <c r="M382">
        <v>0.23488168273444299</v>
      </c>
      <c r="N382">
        <v>3.1384856806590799E-4</v>
      </c>
    </row>
    <row r="383" spans="1:14" x14ac:dyDescent="0.25">
      <c r="A383" t="s">
        <v>401</v>
      </c>
      <c r="B383">
        <v>3423</v>
      </c>
      <c r="C383">
        <v>804</v>
      </c>
      <c r="D383">
        <v>4</v>
      </c>
      <c r="E383" t="s">
        <v>14</v>
      </c>
      <c r="F383" t="s">
        <v>26</v>
      </c>
      <c r="G383" t="s">
        <v>42</v>
      </c>
      <c r="H383" s="1">
        <v>44037</v>
      </c>
      <c r="I383" t="s">
        <v>403</v>
      </c>
      <c r="J383" t="s">
        <v>63</v>
      </c>
      <c r="K383" t="s">
        <v>64</v>
      </c>
      <c r="L383" s="1">
        <v>44013</v>
      </c>
      <c r="M383">
        <v>0.23488168273444299</v>
      </c>
      <c r="N383">
        <v>3.1384856806590799E-4</v>
      </c>
    </row>
    <row r="384" spans="1:14" x14ac:dyDescent="0.25">
      <c r="A384" t="s">
        <v>401</v>
      </c>
      <c r="B384">
        <v>3423</v>
      </c>
      <c r="C384">
        <v>804</v>
      </c>
      <c r="D384">
        <v>4</v>
      </c>
      <c r="E384" t="s">
        <v>14</v>
      </c>
      <c r="F384" t="s">
        <v>26</v>
      </c>
      <c r="G384" t="s">
        <v>42</v>
      </c>
      <c r="H384" s="1">
        <v>45315</v>
      </c>
      <c r="I384" t="s">
        <v>404</v>
      </c>
      <c r="J384" t="s">
        <v>63</v>
      </c>
      <c r="K384" t="s">
        <v>75</v>
      </c>
      <c r="L384" s="1">
        <v>45292</v>
      </c>
      <c r="M384">
        <v>0.23488168273444299</v>
      </c>
      <c r="N384">
        <v>3.1384856806590799E-4</v>
      </c>
    </row>
    <row r="385" spans="1:14" x14ac:dyDescent="0.25">
      <c r="A385" t="s">
        <v>401</v>
      </c>
      <c r="B385">
        <v>3423</v>
      </c>
      <c r="C385">
        <v>804</v>
      </c>
      <c r="D385">
        <v>4</v>
      </c>
      <c r="E385" t="s">
        <v>14</v>
      </c>
      <c r="F385" t="s">
        <v>26</v>
      </c>
      <c r="G385" t="s">
        <v>42</v>
      </c>
      <c r="H385" s="1">
        <v>43955</v>
      </c>
      <c r="I385" t="s">
        <v>405</v>
      </c>
      <c r="J385" t="s">
        <v>63</v>
      </c>
      <c r="K385" t="s">
        <v>64</v>
      </c>
      <c r="L385" s="1">
        <v>43952</v>
      </c>
      <c r="M385">
        <v>0.23488168273444299</v>
      </c>
      <c r="N385">
        <v>3.1384856806590799E-4</v>
      </c>
    </row>
    <row r="386" spans="1:14" x14ac:dyDescent="0.25">
      <c r="A386" t="s">
        <v>401</v>
      </c>
      <c r="B386">
        <v>3423</v>
      </c>
      <c r="C386">
        <v>804</v>
      </c>
      <c r="D386">
        <v>4</v>
      </c>
      <c r="E386" t="s">
        <v>14</v>
      </c>
      <c r="F386" t="s">
        <v>26</v>
      </c>
      <c r="G386" t="s">
        <v>42</v>
      </c>
      <c r="H386" s="1">
        <v>44513</v>
      </c>
      <c r="I386" t="s">
        <v>406</v>
      </c>
      <c r="J386" t="s">
        <v>83</v>
      </c>
      <c r="K386" t="s">
        <v>90</v>
      </c>
      <c r="L386" s="1">
        <v>44501</v>
      </c>
      <c r="M386">
        <v>0.23488168273444299</v>
      </c>
      <c r="N386">
        <v>3.1384856806590799E-4</v>
      </c>
    </row>
    <row r="387" spans="1:14" x14ac:dyDescent="0.25">
      <c r="A387" t="s">
        <v>407</v>
      </c>
      <c r="B387">
        <v>3900</v>
      </c>
      <c r="C387">
        <v>115</v>
      </c>
      <c r="D387">
        <v>9</v>
      </c>
      <c r="E387" t="s">
        <v>40</v>
      </c>
      <c r="F387" t="s">
        <v>44</v>
      </c>
      <c r="G387" t="s">
        <v>57</v>
      </c>
      <c r="H387" s="1">
        <v>45206</v>
      </c>
      <c r="I387" t="s">
        <v>408</v>
      </c>
      <c r="J387" t="s">
        <v>21</v>
      </c>
      <c r="K387" t="s">
        <v>55</v>
      </c>
      <c r="L387" s="1">
        <v>45200</v>
      </c>
      <c r="M387">
        <v>2.94871794871795E-2</v>
      </c>
      <c r="N387">
        <v>7.0615927814829404E-4</v>
      </c>
    </row>
    <row r="388" spans="1:14" x14ac:dyDescent="0.25">
      <c r="A388" t="s">
        <v>409</v>
      </c>
      <c r="B388">
        <v>8568</v>
      </c>
      <c r="C388">
        <v>2419</v>
      </c>
      <c r="D388">
        <v>11</v>
      </c>
      <c r="E388" t="s">
        <v>14</v>
      </c>
      <c r="F388" t="s">
        <v>15</v>
      </c>
      <c r="G388" t="s">
        <v>16</v>
      </c>
      <c r="H388" s="1">
        <v>44492</v>
      </c>
      <c r="I388" t="s">
        <v>410</v>
      </c>
      <c r="J388" t="s">
        <v>24</v>
      </c>
      <c r="K388" t="s">
        <v>60</v>
      </c>
      <c r="L388" s="1">
        <v>44470</v>
      </c>
      <c r="M388">
        <v>0.28232959850606898</v>
      </c>
      <c r="N388">
        <v>8.6308356218124801E-4</v>
      </c>
    </row>
    <row r="389" spans="1:14" x14ac:dyDescent="0.25">
      <c r="A389" t="s">
        <v>409</v>
      </c>
      <c r="B389">
        <v>3283</v>
      </c>
      <c r="C389">
        <v>71</v>
      </c>
      <c r="D389">
        <v>6</v>
      </c>
      <c r="E389" t="s">
        <v>28</v>
      </c>
      <c r="F389" t="s">
        <v>29</v>
      </c>
      <c r="G389" t="s">
        <v>36</v>
      </c>
      <c r="H389" s="1">
        <v>44492</v>
      </c>
      <c r="I389" t="s">
        <v>410</v>
      </c>
      <c r="J389" t="s">
        <v>24</v>
      </c>
      <c r="K389" t="s">
        <v>60</v>
      </c>
      <c r="L389" s="1">
        <v>44470</v>
      </c>
      <c r="M389">
        <v>2.16265610721901E-2</v>
      </c>
      <c r="N389">
        <v>4.7077285209886201E-4</v>
      </c>
    </row>
    <row r="390" spans="1:14" x14ac:dyDescent="0.25">
      <c r="A390" t="s">
        <v>411</v>
      </c>
      <c r="B390">
        <v>7643</v>
      </c>
      <c r="C390">
        <v>3720</v>
      </c>
      <c r="D390">
        <v>19</v>
      </c>
      <c r="E390" t="s">
        <v>14</v>
      </c>
      <c r="F390" t="s">
        <v>15</v>
      </c>
      <c r="G390" t="s">
        <v>36</v>
      </c>
      <c r="H390" s="1">
        <v>44760</v>
      </c>
      <c r="I390" t="s">
        <v>412</v>
      </c>
      <c r="J390" t="s">
        <v>63</v>
      </c>
      <c r="K390" t="s">
        <v>64</v>
      </c>
      <c r="L390" s="1">
        <v>44743</v>
      </c>
      <c r="M390">
        <v>0.48671987439487102</v>
      </c>
      <c r="N390">
        <v>1.4907806983130601E-3</v>
      </c>
    </row>
    <row r="391" spans="1:14" x14ac:dyDescent="0.25">
      <c r="A391" t="s">
        <v>413</v>
      </c>
      <c r="B391">
        <v>3461</v>
      </c>
      <c r="C391">
        <v>1537</v>
      </c>
      <c r="D391">
        <v>15</v>
      </c>
      <c r="E391" t="s">
        <v>40</v>
      </c>
      <c r="F391" t="s">
        <v>52</v>
      </c>
      <c r="G391" t="s">
        <v>36</v>
      </c>
      <c r="H391" s="1">
        <v>45527</v>
      </c>
      <c r="I391" t="s">
        <v>414</v>
      </c>
      <c r="J391" t="s">
        <v>21</v>
      </c>
      <c r="K391" t="s">
        <v>22</v>
      </c>
      <c r="L391" s="1">
        <v>45505</v>
      </c>
      <c r="M391">
        <v>0.444091303091592</v>
      </c>
      <c r="N391">
        <v>1.17693213024716E-3</v>
      </c>
    </row>
    <row r="392" spans="1:14" x14ac:dyDescent="0.25">
      <c r="A392" t="s">
        <v>413</v>
      </c>
      <c r="B392">
        <v>5714</v>
      </c>
      <c r="C392">
        <v>1438</v>
      </c>
      <c r="D392">
        <v>6</v>
      </c>
      <c r="E392" t="s">
        <v>14</v>
      </c>
      <c r="F392" t="s">
        <v>15</v>
      </c>
      <c r="G392" t="s">
        <v>42</v>
      </c>
      <c r="H392" s="1">
        <v>45527</v>
      </c>
      <c r="I392" t="s">
        <v>414</v>
      </c>
      <c r="J392" t="s">
        <v>21</v>
      </c>
      <c r="K392" t="s">
        <v>22</v>
      </c>
      <c r="L392" s="1">
        <v>45505</v>
      </c>
      <c r="M392">
        <v>0.25166258312915601</v>
      </c>
      <c r="N392">
        <v>4.7077285209886201E-4</v>
      </c>
    </row>
    <row r="393" spans="1:14" x14ac:dyDescent="0.25">
      <c r="A393" t="s">
        <v>413</v>
      </c>
      <c r="B393">
        <v>3853</v>
      </c>
      <c r="C393">
        <v>1457</v>
      </c>
      <c r="D393">
        <v>10</v>
      </c>
      <c r="E393" t="s">
        <v>28</v>
      </c>
      <c r="F393" t="s">
        <v>68</v>
      </c>
      <c r="G393" t="s">
        <v>57</v>
      </c>
      <c r="H393" s="1">
        <v>45527</v>
      </c>
      <c r="I393" t="s">
        <v>414</v>
      </c>
      <c r="J393" t="s">
        <v>21</v>
      </c>
      <c r="K393" t="s">
        <v>22</v>
      </c>
      <c r="L393" s="1">
        <v>45505</v>
      </c>
      <c r="M393">
        <v>0.37814689852063299</v>
      </c>
      <c r="N393">
        <v>7.8462142016477005E-4</v>
      </c>
    </row>
    <row r="394" spans="1:14" x14ac:dyDescent="0.25">
      <c r="A394" t="s">
        <v>415</v>
      </c>
      <c r="B394">
        <v>6016</v>
      </c>
      <c r="C394">
        <v>431</v>
      </c>
      <c r="D394">
        <v>20</v>
      </c>
      <c r="E394" t="s">
        <v>28</v>
      </c>
      <c r="F394" t="s">
        <v>29</v>
      </c>
      <c r="G394" t="s">
        <v>16</v>
      </c>
      <c r="H394" s="1">
        <v>44132</v>
      </c>
      <c r="I394" t="s">
        <v>416</v>
      </c>
      <c r="J394" t="s">
        <v>21</v>
      </c>
      <c r="K394" t="s">
        <v>22</v>
      </c>
      <c r="L394" s="1">
        <v>44105</v>
      </c>
      <c r="M394">
        <v>7.1642287234042604E-2</v>
      </c>
      <c r="N394">
        <v>1.5692428403295401E-3</v>
      </c>
    </row>
    <row r="395" spans="1:14" x14ac:dyDescent="0.25">
      <c r="A395" t="s">
        <v>417</v>
      </c>
      <c r="B395">
        <v>1290</v>
      </c>
      <c r="C395">
        <v>204</v>
      </c>
      <c r="D395">
        <v>12</v>
      </c>
      <c r="E395" t="s">
        <v>28</v>
      </c>
      <c r="F395" t="s">
        <v>50</v>
      </c>
      <c r="G395" t="s">
        <v>16</v>
      </c>
      <c r="H395" s="1">
        <v>45458</v>
      </c>
      <c r="I395" t="s">
        <v>418</v>
      </c>
      <c r="J395" t="s">
        <v>24</v>
      </c>
      <c r="K395" t="s">
        <v>25</v>
      </c>
      <c r="L395" s="1">
        <v>45444</v>
      </c>
      <c r="M395">
        <v>0.15813953488372101</v>
      </c>
      <c r="N395">
        <v>9.4154570419772402E-4</v>
      </c>
    </row>
    <row r="396" spans="1:14" x14ac:dyDescent="0.25">
      <c r="A396" t="s">
        <v>417</v>
      </c>
      <c r="B396">
        <v>1290</v>
      </c>
      <c r="C396">
        <v>204</v>
      </c>
      <c r="D396">
        <v>12</v>
      </c>
      <c r="E396" t="s">
        <v>28</v>
      </c>
      <c r="F396" t="s">
        <v>50</v>
      </c>
      <c r="G396" t="s">
        <v>16</v>
      </c>
      <c r="H396" s="1">
        <v>45645</v>
      </c>
      <c r="I396" t="s">
        <v>419</v>
      </c>
      <c r="J396" t="s">
        <v>38</v>
      </c>
      <c r="K396" t="s">
        <v>79</v>
      </c>
      <c r="L396" s="1">
        <v>45627</v>
      </c>
      <c r="M396">
        <v>0.15813953488372101</v>
      </c>
      <c r="N396">
        <v>9.4154570419772402E-4</v>
      </c>
    </row>
    <row r="397" spans="1:14" x14ac:dyDescent="0.25">
      <c r="A397" t="s">
        <v>420</v>
      </c>
      <c r="B397">
        <v>4569</v>
      </c>
      <c r="C397">
        <v>1693</v>
      </c>
      <c r="D397">
        <v>10</v>
      </c>
      <c r="E397" t="s">
        <v>14</v>
      </c>
      <c r="F397" t="s">
        <v>26</v>
      </c>
      <c r="G397" t="s">
        <v>16</v>
      </c>
      <c r="H397" s="1">
        <v>44078</v>
      </c>
      <c r="I397" t="s">
        <v>421</v>
      </c>
      <c r="J397" t="s">
        <v>21</v>
      </c>
      <c r="K397" t="s">
        <v>55</v>
      </c>
      <c r="L397" s="1">
        <v>44075</v>
      </c>
      <c r="M397">
        <v>0.37054059969358699</v>
      </c>
      <c r="N397">
        <v>7.8462142016477005E-4</v>
      </c>
    </row>
    <row r="398" spans="1:14" x14ac:dyDescent="0.25">
      <c r="A398" t="s">
        <v>422</v>
      </c>
      <c r="B398">
        <v>3083</v>
      </c>
      <c r="C398">
        <v>1151</v>
      </c>
      <c r="D398">
        <v>16</v>
      </c>
      <c r="E398" t="s">
        <v>40</v>
      </c>
      <c r="F398" t="s">
        <v>91</v>
      </c>
      <c r="G398" t="s">
        <v>30</v>
      </c>
      <c r="H398" s="1">
        <v>44667</v>
      </c>
      <c r="I398" t="s">
        <v>423</v>
      </c>
      <c r="J398" t="s">
        <v>18</v>
      </c>
      <c r="K398" t="s">
        <v>32</v>
      </c>
      <c r="L398" s="1">
        <v>44652</v>
      </c>
      <c r="M398">
        <v>0.37333765812520298</v>
      </c>
      <c r="N398">
        <v>1.25539427226363E-3</v>
      </c>
    </row>
    <row r="399" spans="1:14" x14ac:dyDescent="0.25">
      <c r="A399" t="s">
        <v>424</v>
      </c>
      <c r="B399">
        <v>3522</v>
      </c>
      <c r="C399">
        <v>898</v>
      </c>
      <c r="D399">
        <v>15</v>
      </c>
      <c r="E399" t="s">
        <v>28</v>
      </c>
      <c r="F399" t="s">
        <v>29</v>
      </c>
      <c r="G399" t="s">
        <v>42</v>
      </c>
      <c r="H399" s="1">
        <v>45533</v>
      </c>
      <c r="I399" t="s">
        <v>425</v>
      </c>
      <c r="J399" t="s">
        <v>83</v>
      </c>
      <c r="K399" t="s">
        <v>98</v>
      </c>
      <c r="L399" s="1">
        <v>45505</v>
      </c>
      <c r="M399">
        <v>0.25496876774559901</v>
      </c>
      <c r="N399">
        <v>1.17693213024716E-3</v>
      </c>
    </row>
    <row r="400" spans="1:14" x14ac:dyDescent="0.25">
      <c r="A400" t="s">
        <v>424</v>
      </c>
      <c r="B400">
        <v>3522</v>
      </c>
      <c r="C400">
        <v>898</v>
      </c>
      <c r="D400">
        <v>15</v>
      </c>
      <c r="E400" t="s">
        <v>28</v>
      </c>
      <c r="F400" t="s">
        <v>29</v>
      </c>
      <c r="G400" t="s">
        <v>42</v>
      </c>
      <c r="H400" s="1">
        <v>44575</v>
      </c>
      <c r="I400" t="s">
        <v>426</v>
      </c>
      <c r="J400" t="s">
        <v>38</v>
      </c>
      <c r="K400" t="s">
        <v>39</v>
      </c>
      <c r="L400" s="1">
        <v>44562</v>
      </c>
      <c r="M400">
        <v>0.25496876774559901</v>
      </c>
      <c r="N400">
        <v>1.17693213024716E-3</v>
      </c>
    </row>
    <row r="401" spans="1:14" x14ac:dyDescent="0.25">
      <c r="A401" t="s">
        <v>427</v>
      </c>
      <c r="B401">
        <v>7301</v>
      </c>
      <c r="C401">
        <v>3602</v>
      </c>
      <c r="D401">
        <v>3</v>
      </c>
      <c r="E401" t="s">
        <v>28</v>
      </c>
      <c r="F401" t="s">
        <v>68</v>
      </c>
      <c r="G401" t="s">
        <v>30</v>
      </c>
      <c r="H401" s="1">
        <v>45389</v>
      </c>
      <c r="I401" t="s">
        <v>428</v>
      </c>
      <c r="J401" t="s">
        <v>63</v>
      </c>
      <c r="K401" t="s">
        <v>112</v>
      </c>
      <c r="L401" s="1">
        <v>45383</v>
      </c>
      <c r="M401">
        <v>0.493357074373374</v>
      </c>
      <c r="N401">
        <v>2.35386426049431E-4</v>
      </c>
    </row>
    <row r="402" spans="1:14" x14ac:dyDescent="0.25">
      <c r="A402" t="s">
        <v>429</v>
      </c>
      <c r="B402">
        <v>4462</v>
      </c>
      <c r="C402">
        <v>121</v>
      </c>
      <c r="D402">
        <v>8</v>
      </c>
      <c r="E402" t="s">
        <v>14</v>
      </c>
      <c r="F402" t="s">
        <v>35</v>
      </c>
      <c r="G402" t="s">
        <v>57</v>
      </c>
      <c r="H402" s="1">
        <v>44675</v>
      </c>
      <c r="I402" t="s">
        <v>430</v>
      </c>
      <c r="J402" t="s">
        <v>21</v>
      </c>
      <c r="K402" t="s">
        <v>55</v>
      </c>
      <c r="L402" s="1">
        <v>44652</v>
      </c>
      <c r="M402">
        <v>2.71178843567907E-2</v>
      </c>
      <c r="N402">
        <v>6.2769713613181597E-4</v>
      </c>
    </row>
    <row r="403" spans="1:14" x14ac:dyDescent="0.25">
      <c r="A403" t="s">
        <v>429</v>
      </c>
      <c r="B403">
        <v>6212</v>
      </c>
      <c r="C403">
        <v>1881</v>
      </c>
      <c r="D403">
        <v>17</v>
      </c>
      <c r="E403" t="s">
        <v>14</v>
      </c>
      <c r="F403" t="s">
        <v>71</v>
      </c>
      <c r="G403" t="s">
        <v>57</v>
      </c>
      <c r="H403" s="1">
        <v>44675</v>
      </c>
      <c r="I403" t="s">
        <v>430</v>
      </c>
      <c r="J403" t="s">
        <v>21</v>
      </c>
      <c r="K403" t="s">
        <v>55</v>
      </c>
      <c r="L403" s="1">
        <v>44652</v>
      </c>
      <c r="M403">
        <v>0.30280103026400501</v>
      </c>
      <c r="N403">
        <v>1.33385641428011E-3</v>
      </c>
    </row>
    <row r="404" spans="1:14" x14ac:dyDescent="0.25">
      <c r="A404" t="s">
        <v>431</v>
      </c>
      <c r="B404">
        <v>4027</v>
      </c>
      <c r="C404">
        <v>1386</v>
      </c>
      <c r="D404">
        <v>3</v>
      </c>
      <c r="E404" t="s">
        <v>40</v>
      </c>
      <c r="F404" t="s">
        <v>91</v>
      </c>
      <c r="G404" t="s">
        <v>36</v>
      </c>
      <c r="H404" s="1">
        <v>44070</v>
      </c>
      <c r="I404" t="s">
        <v>432</v>
      </c>
      <c r="J404" t="s">
        <v>18</v>
      </c>
      <c r="K404" t="s">
        <v>122</v>
      </c>
      <c r="L404" s="1">
        <v>44044</v>
      </c>
      <c r="M404">
        <v>0.344176806555749</v>
      </c>
      <c r="N404">
        <v>2.35386426049431E-4</v>
      </c>
    </row>
    <row r="405" spans="1:14" x14ac:dyDescent="0.25">
      <c r="A405" t="s">
        <v>433</v>
      </c>
      <c r="B405">
        <v>1676</v>
      </c>
      <c r="C405">
        <v>330</v>
      </c>
      <c r="D405">
        <v>14</v>
      </c>
      <c r="E405" t="s">
        <v>14</v>
      </c>
      <c r="F405" t="s">
        <v>35</v>
      </c>
      <c r="G405" t="s">
        <v>36</v>
      </c>
      <c r="H405" s="1">
        <v>44986</v>
      </c>
      <c r="I405" t="s">
        <v>434</v>
      </c>
      <c r="J405" t="s">
        <v>83</v>
      </c>
      <c r="K405" t="s">
        <v>98</v>
      </c>
      <c r="L405" s="1">
        <v>44986</v>
      </c>
      <c r="M405">
        <v>0.19689737470167101</v>
      </c>
      <c r="N405">
        <v>1.0984699882306799E-3</v>
      </c>
    </row>
    <row r="406" spans="1:14" x14ac:dyDescent="0.25">
      <c r="A406" t="s">
        <v>433</v>
      </c>
      <c r="B406">
        <v>3927</v>
      </c>
      <c r="C406">
        <v>1133</v>
      </c>
      <c r="D406">
        <v>12</v>
      </c>
      <c r="E406" t="s">
        <v>40</v>
      </c>
      <c r="F406" t="s">
        <v>91</v>
      </c>
      <c r="G406" t="s">
        <v>57</v>
      </c>
      <c r="H406" s="1">
        <v>44986</v>
      </c>
      <c r="I406" t="s">
        <v>434</v>
      </c>
      <c r="J406" t="s">
        <v>83</v>
      </c>
      <c r="K406" t="s">
        <v>98</v>
      </c>
      <c r="L406" s="1">
        <v>44986</v>
      </c>
      <c r="M406">
        <v>0.28851540616246502</v>
      </c>
      <c r="N406">
        <v>9.4154570419772402E-4</v>
      </c>
    </row>
    <row r="407" spans="1:14" x14ac:dyDescent="0.25">
      <c r="A407" t="s">
        <v>433</v>
      </c>
      <c r="B407">
        <v>2776</v>
      </c>
      <c r="C407">
        <v>887</v>
      </c>
      <c r="D407">
        <v>9</v>
      </c>
      <c r="E407" t="s">
        <v>14</v>
      </c>
      <c r="F407" t="s">
        <v>71</v>
      </c>
      <c r="G407" t="s">
        <v>30</v>
      </c>
      <c r="H407" s="1">
        <v>44986</v>
      </c>
      <c r="I407" t="s">
        <v>434</v>
      </c>
      <c r="J407" t="s">
        <v>83</v>
      </c>
      <c r="K407" t="s">
        <v>98</v>
      </c>
      <c r="L407" s="1">
        <v>44986</v>
      </c>
      <c r="M407">
        <v>0.31952449567723301</v>
      </c>
      <c r="N407">
        <v>7.0615927814829404E-4</v>
      </c>
    </row>
    <row r="408" spans="1:14" x14ac:dyDescent="0.25">
      <c r="A408" t="s">
        <v>435</v>
      </c>
      <c r="B408">
        <v>7684</v>
      </c>
      <c r="C408">
        <v>1157</v>
      </c>
      <c r="D408">
        <v>12</v>
      </c>
      <c r="E408" t="s">
        <v>40</v>
      </c>
      <c r="F408" t="s">
        <v>52</v>
      </c>
      <c r="G408" t="s">
        <v>57</v>
      </c>
      <c r="H408" s="1">
        <v>44106</v>
      </c>
      <c r="I408" t="s">
        <v>436</v>
      </c>
      <c r="J408" t="s">
        <v>21</v>
      </c>
      <c r="K408" t="s">
        <v>22</v>
      </c>
      <c r="L408" s="1">
        <v>44105</v>
      </c>
      <c r="M408">
        <v>0.15057261842790201</v>
      </c>
      <c r="N408">
        <v>9.4154570419772402E-4</v>
      </c>
    </row>
    <row r="409" spans="1:14" x14ac:dyDescent="0.25">
      <c r="A409" t="s">
        <v>435</v>
      </c>
      <c r="B409">
        <v>7684</v>
      </c>
      <c r="C409">
        <v>1157</v>
      </c>
      <c r="D409">
        <v>12</v>
      </c>
      <c r="E409" t="s">
        <v>40</v>
      </c>
      <c r="F409" t="s">
        <v>52</v>
      </c>
      <c r="G409" t="s">
        <v>57</v>
      </c>
      <c r="H409" s="1">
        <v>44005</v>
      </c>
      <c r="I409" t="s">
        <v>437</v>
      </c>
      <c r="J409" t="s">
        <v>24</v>
      </c>
      <c r="K409" t="s">
        <v>25</v>
      </c>
      <c r="L409" s="1">
        <v>43983</v>
      </c>
      <c r="M409">
        <v>0.15057261842790201</v>
      </c>
      <c r="N409">
        <v>9.4154570419772402E-4</v>
      </c>
    </row>
    <row r="410" spans="1:14" x14ac:dyDescent="0.25">
      <c r="A410" t="s">
        <v>435</v>
      </c>
      <c r="B410">
        <v>7684</v>
      </c>
      <c r="C410">
        <v>1157</v>
      </c>
      <c r="D410">
        <v>12</v>
      </c>
      <c r="E410" t="s">
        <v>40</v>
      </c>
      <c r="F410" t="s">
        <v>52</v>
      </c>
      <c r="G410" t="s">
        <v>57</v>
      </c>
      <c r="H410" s="1">
        <v>45159</v>
      </c>
      <c r="I410" t="s">
        <v>438</v>
      </c>
      <c r="J410" t="s">
        <v>83</v>
      </c>
      <c r="K410" t="s">
        <v>84</v>
      </c>
      <c r="L410" s="1">
        <v>45139</v>
      </c>
      <c r="M410">
        <v>0.15057261842790201</v>
      </c>
      <c r="N410">
        <v>9.4154570419772402E-4</v>
      </c>
    </row>
    <row r="411" spans="1:14" x14ac:dyDescent="0.25">
      <c r="A411" t="s">
        <v>439</v>
      </c>
      <c r="B411">
        <v>6008</v>
      </c>
      <c r="C411">
        <v>2498</v>
      </c>
      <c r="D411">
        <v>17</v>
      </c>
      <c r="E411" t="s">
        <v>14</v>
      </c>
      <c r="F411" t="s">
        <v>71</v>
      </c>
      <c r="G411" t="s">
        <v>42</v>
      </c>
      <c r="H411" s="1">
        <v>44758</v>
      </c>
      <c r="I411" t="s">
        <v>440</v>
      </c>
      <c r="J411" t="s">
        <v>18</v>
      </c>
      <c r="K411" t="s">
        <v>19</v>
      </c>
      <c r="L411" s="1">
        <v>44743</v>
      </c>
      <c r="M411">
        <v>0.41577896138482001</v>
      </c>
      <c r="N411">
        <v>1.33385641428011E-3</v>
      </c>
    </row>
    <row r="412" spans="1:14" x14ac:dyDescent="0.25">
      <c r="A412" t="s">
        <v>441</v>
      </c>
      <c r="B412">
        <v>7344</v>
      </c>
      <c r="C412">
        <v>2598</v>
      </c>
      <c r="D412">
        <v>20</v>
      </c>
      <c r="E412" t="s">
        <v>40</v>
      </c>
      <c r="F412" t="s">
        <v>91</v>
      </c>
      <c r="G412" t="s">
        <v>57</v>
      </c>
      <c r="H412" s="1">
        <v>44774</v>
      </c>
      <c r="I412" t="s">
        <v>442</v>
      </c>
      <c r="J412" t="s">
        <v>63</v>
      </c>
      <c r="K412" t="s">
        <v>64</v>
      </c>
      <c r="L412" s="1">
        <v>44774</v>
      </c>
      <c r="M412">
        <v>0.35375816993464099</v>
      </c>
      <c r="N412">
        <v>1.5692428403295401E-3</v>
      </c>
    </row>
    <row r="413" spans="1:14" x14ac:dyDescent="0.25">
      <c r="A413" t="s">
        <v>443</v>
      </c>
      <c r="B413">
        <v>6932</v>
      </c>
      <c r="C413">
        <v>3218</v>
      </c>
      <c r="D413">
        <v>20</v>
      </c>
      <c r="E413" t="s">
        <v>28</v>
      </c>
      <c r="F413" t="s">
        <v>29</v>
      </c>
      <c r="G413" t="s">
        <v>57</v>
      </c>
      <c r="H413" s="1">
        <v>44028</v>
      </c>
      <c r="I413" t="s">
        <v>444</v>
      </c>
      <c r="J413" t="s">
        <v>18</v>
      </c>
      <c r="K413" t="s">
        <v>32</v>
      </c>
      <c r="L413" s="1">
        <v>44013</v>
      </c>
      <c r="M413">
        <v>0.464223889209463</v>
      </c>
      <c r="N413">
        <v>1.5692428403295401E-3</v>
      </c>
    </row>
    <row r="414" spans="1:14" x14ac:dyDescent="0.25">
      <c r="A414" t="s">
        <v>445</v>
      </c>
      <c r="B414">
        <v>7748</v>
      </c>
      <c r="C414">
        <v>1706</v>
      </c>
      <c r="D414">
        <v>16</v>
      </c>
      <c r="E414" t="s">
        <v>14</v>
      </c>
      <c r="F414" t="s">
        <v>15</v>
      </c>
      <c r="G414" t="s">
        <v>36</v>
      </c>
      <c r="H414" s="1">
        <v>43953</v>
      </c>
      <c r="I414" t="s">
        <v>446</v>
      </c>
      <c r="J414" t="s">
        <v>83</v>
      </c>
      <c r="K414" t="s">
        <v>90</v>
      </c>
      <c r="L414" s="1">
        <v>43952</v>
      </c>
      <c r="M414">
        <v>0.22018585441404201</v>
      </c>
      <c r="N414">
        <v>1.25539427226363E-3</v>
      </c>
    </row>
    <row r="415" spans="1:14" x14ac:dyDescent="0.25">
      <c r="A415" t="s">
        <v>445</v>
      </c>
      <c r="B415">
        <v>6381</v>
      </c>
      <c r="C415">
        <v>2763</v>
      </c>
      <c r="D415">
        <v>20</v>
      </c>
      <c r="E415" t="s">
        <v>28</v>
      </c>
      <c r="F415" t="s">
        <v>50</v>
      </c>
      <c r="G415" t="s">
        <v>16</v>
      </c>
      <c r="H415" s="1">
        <v>43953</v>
      </c>
      <c r="I415" t="s">
        <v>446</v>
      </c>
      <c r="J415" t="s">
        <v>83</v>
      </c>
      <c r="K415" t="s">
        <v>90</v>
      </c>
      <c r="L415" s="1">
        <v>43952</v>
      </c>
      <c r="M415">
        <v>0.43300423131170701</v>
      </c>
      <c r="N415">
        <v>1.5692428403295401E-3</v>
      </c>
    </row>
    <row r="416" spans="1:14" x14ac:dyDescent="0.25">
      <c r="A416" t="s">
        <v>445</v>
      </c>
      <c r="B416">
        <v>992</v>
      </c>
      <c r="C416">
        <v>64</v>
      </c>
      <c r="D416">
        <v>6</v>
      </c>
      <c r="E416" t="s">
        <v>14</v>
      </c>
      <c r="F416" t="s">
        <v>71</v>
      </c>
      <c r="G416" t="s">
        <v>42</v>
      </c>
      <c r="H416" s="1">
        <v>43953</v>
      </c>
      <c r="I416" t="s">
        <v>446</v>
      </c>
      <c r="J416" t="s">
        <v>83</v>
      </c>
      <c r="K416" t="s">
        <v>90</v>
      </c>
      <c r="L416" s="1">
        <v>43952</v>
      </c>
      <c r="M416">
        <v>6.4516129032258104E-2</v>
      </c>
      <c r="N416">
        <v>4.7077285209886201E-4</v>
      </c>
    </row>
    <row r="417" spans="1:14" x14ac:dyDescent="0.25">
      <c r="A417" t="s">
        <v>447</v>
      </c>
      <c r="B417">
        <v>8649</v>
      </c>
      <c r="C417">
        <v>2631</v>
      </c>
      <c r="D417">
        <v>13</v>
      </c>
      <c r="E417" t="s">
        <v>14</v>
      </c>
      <c r="F417" t="s">
        <v>35</v>
      </c>
      <c r="G417" t="s">
        <v>36</v>
      </c>
      <c r="H417" s="1">
        <v>45301</v>
      </c>
      <c r="I417" t="s">
        <v>448</v>
      </c>
      <c r="J417" t="s">
        <v>38</v>
      </c>
      <c r="K417" t="s">
        <v>79</v>
      </c>
      <c r="L417" s="1">
        <v>45292</v>
      </c>
      <c r="M417">
        <v>0.30419701699618401</v>
      </c>
      <c r="N417">
        <v>1.0200078462141999E-3</v>
      </c>
    </row>
    <row r="418" spans="1:14" x14ac:dyDescent="0.25">
      <c r="A418" t="s">
        <v>447</v>
      </c>
      <c r="B418">
        <v>8649</v>
      </c>
      <c r="C418">
        <v>2631</v>
      </c>
      <c r="D418">
        <v>13</v>
      </c>
      <c r="E418" t="s">
        <v>14</v>
      </c>
      <c r="F418" t="s">
        <v>35</v>
      </c>
      <c r="G418" t="s">
        <v>36</v>
      </c>
      <c r="H418" s="1">
        <v>44104</v>
      </c>
      <c r="I418" t="s">
        <v>449</v>
      </c>
      <c r="J418" t="s">
        <v>24</v>
      </c>
      <c r="K418" t="s">
        <v>60</v>
      </c>
      <c r="L418" s="1">
        <v>44075</v>
      </c>
      <c r="M418">
        <v>0.30419701699618401</v>
      </c>
      <c r="N418">
        <v>1.0200078462141999E-3</v>
      </c>
    </row>
    <row r="419" spans="1:14" x14ac:dyDescent="0.25">
      <c r="A419" t="s">
        <v>450</v>
      </c>
      <c r="B419">
        <v>4099</v>
      </c>
      <c r="C419">
        <v>52</v>
      </c>
      <c r="D419">
        <v>18</v>
      </c>
      <c r="E419" t="s">
        <v>14</v>
      </c>
      <c r="F419" t="s">
        <v>35</v>
      </c>
      <c r="G419" t="s">
        <v>16</v>
      </c>
      <c r="H419" s="1">
        <v>44648</v>
      </c>
      <c r="I419" t="s">
        <v>451</v>
      </c>
      <c r="J419" t="s">
        <v>24</v>
      </c>
      <c r="K419" t="s">
        <v>46</v>
      </c>
      <c r="L419" s="1">
        <v>44621</v>
      </c>
      <c r="M419">
        <v>1.2686020980727001E-2</v>
      </c>
      <c r="N419">
        <v>1.41231855629659E-3</v>
      </c>
    </row>
    <row r="420" spans="1:14" x14ac:dyDescent="0.25">
      <c r="A420" t="s">
        <v>452</v>
      </c>
      <c r="B420">
        <v>2539</v>
      </c>
      <c r="C420">
        <v>324</v>
      </c>
      <c r="D420">
        <v>5</v>
      </c>
      <c r="E420" t="s">
        <v>14</v>
      </c>
      <c r="F420" t="s">
        <v>15</v>
      </c>
      <c r="G420" t="s">
        <v>16</v>
      </c>
      <c r="H420" s="1">
        <v>44226</v>
      </c>
      <c r="I420" t="s">
        <v>453</v>
      </c>
      <c r="J420" t="s">
        <v>38</v>
      </c>
      <c r="K420" t="s">
        <v>79</v>
      </c>
      <c r="L420" s="1">
        <v>44197</v>
      </c>
      <c r="M420">
        <v>0.127609294998031</v>
      </c>
      <c r="N420">
        <v>3.9231071008238503E-4</v>
      </c>
    </row>
    <row r="421" spans="1:14" x14ac:dyDescent="0.25">
      <c r="A421" t="s">
        <v>454</v>
      </c>
      <c r="B421">
        <v>9845</v>
      </c>
      <c r="C421">
        <v>3062</v>
      </c>
      <c r="D421">
        <v>9</v>
      </c>
      <c r="E421" t="s">
        <v>28</v>
      </c>
      <c r="F421" t="s">
        <v>56</v>
      </c>
      <c r="G421" t="s">
        <v>57</v>
      </c>
      <c r="H421" s="1">
        <v>45730</v>
      </c>
      <c r="I421" t="s">
        <v>455</v>
      </c>
      <c r="J421" t="s">
        <v>18</v>
      </c>
      <c r="K421" t="s">
        <v>32</v>
      </c>
      <c r="L421" s="1">
        <v>45717</v>
      </c>
      <c r="M421">
        <v>0.31102082275266602</v>
      </c>
      <c r="N421">
        <v>7.0615927814829404E-4</v>
      </c>
    </row>
    <row r="422" spans="1:14" x14ac:dyDescent="0.25">
      <c r="A422" t="s">
        <v>456</v>
      </c>
      <c r="B422">
        <v>2901</v>
      </c>
      <c r="C422">
        <v>1411</v>
      </c>
      <c r="D422">
        <v>2</v>
      </c>
      <c r="E422" t="s">
        <v>28</v>
      </c>
      <c r="F422" t="s">
        <v>56</v>
      </c>
      <c r="G422" t="s">
        <v>30</v>
      </c>
      <c r="H422" s="1">
        <v>44495</v>
      </c>
      <c r="I422" t="s">
        <v>457</v>
      </c>
      <c r="J422" t="s">
        <v>63</v>
      </c>
      <c r="K422" t="s">
        <v>75</v>
      </c>
      <c r="L422" s="1">
        <v>44470</v>
      </c>
      <c r="M422">
        <v>0.48638400551534</v>
      </c>
      <c r="N422">
        <v>1.5692428403295399E-4</v>
      </c>
    </row>
    <row r="423" spans="1:14" x14ac:dyDescent="0.25">
      <c r="A423" t="s">
        <v>456</v>
      </c>
      <c r="B423">
        <v>2901</v>
      </c>
      <c r="C423">
        <v>1411</v>
      </c>
      <c r="D423">
        <v>2</v>
      </c>
      <c r="E423" t="s">
        <v>28</v>
      </c>
      <c r="F423" t="s">
        <v>56</v>
      </c>
      <c r="G423" t="s">
        <v>30</v>
      </c>
      <c r="H423" s="1">
        <v>44937</v>
      </c>
      <c r="I423" t="s">
        <v>458</v>
      </c>
      <c r="J423" t="s">
        <v>38</v>
      </c>
      <c r="K423" t="s">
        <v>39</v>
      </c>
      <c r="L423" s="1">
        <v>44927</v>
      </c>
      <c r="M423">
        <v>0.48638400551534</v>
      </c>
      <c r="N423">
        <v>1.5692428403295399E-4</v>
      </c>
    </row>
    <row r="424" spans="1:14" x14ac:dyDescent="0.25">
      <c r="A424" t="s">
        <v>456</v>
      </c>
      <c r="B424">
        <v>6934</v>
      </c>
      <c r="C424">
        <v>1152</v>
      </c>
      <c r="D424">
        <v>6</v>
      </c>
      <c r="E424" t="s">
        <v>28</v>
      </c>
      <c r="F424" t="s">
        <v>29</v>
      </c>
      <c r="G424" t="s">
        <v>42</v>
      </c>
      <c r="H424" s="1">
        <v>44495</v>
      </c>
      <c r="I424" t="s">
        <v>457</v>
      </c>
      <c r="J424" t="s">
        <v>63</v>
      </c>
      <c r="K424" t="s">
        <v>75</v>
      </c>
      <c r="L424" s="1">
        <v>44470</v>
      </c>
      <c r="M424">
        <v>0.16613787135852301</v>
      </c>
      <c r="N424">
        <v>4.7077285209886201E-4</v>
      </c>
    </row>
    <row r="425" spans="1:14" x14ac:dyDescent="0.25">
      <c r="A425" t="s">
        <v>456</v>
      </c>
      <c r="B425">
        <v>6934</v>
      </c>
      <c r="C425">
        <v>1152</v>
      </c>
      <c r="D425">
        <v>6</v>
      </c>
      <c r="E425" t="s">
        <v>28</v>
      </c>
      <c r="F425" t="s">
        <v>29</v>
      </c>
      <c r="G425" t="s">
        <v>42</v>
      </c>
      <c r="H425" s="1">
        <v>44937</v>
      </c>
      <c r="I425" t="s">
        <v>458</v>
      </c>
      <c r="J425" t="s">
        <v>38</v>
      </c>
      <c r="K425" t="s">
        <v>39</v>
      </c>
      <c r="L425" s="1">
        <v>44927</v>
      </c>
      <c r="M425">
        <v>0.16613787135852301</v>
      </c>
      <c r="N425">
        <v>4.7077285209886201E-4</v>
      </c>
    </row>
    <row r="426" spans="1:14" x14ac:dyDescent="0.25">
      <c r="A426" t="s">
        <v>459</v>
      </c>
      <c r="B426">
        <v>9640</v>
      </c>
      <c r="C426">
        <v>2606</v>
      </c>
      <c r="D426">
        <v>2</v>
      </c>
      <c r="E426" t="s">
        <v>40</v>
      </c>
      <c r="F426" t="s">
        <v>91</v>
      </c>
      <c r="G426" t="s">
        <v>42</v>
      </c>
      <c r="H426" s="1">
        <v>44500</v>
      </c>
      <c r="I426" t="s">
        <v>460</v>
      </c>
      <c r="J426" t="s">
        <v>21</v>
      </c>
      <c r="K426" t="s">
        <v>138</v>
      </c>
      <c r="L426" s="1">
        <v>44470</v>
      </c>
      <c r="M426">
        <v>0.27033195020746897</v>
      </c>
      <c r="N426">
        <v>1.5692428403295399E-4</v>
      </c>
    </row>
    <row r="427" spans="1:14" x14ac:dyDescent="0.25">
      <c r="A427" t="s">
        <v>461</v>
      </c>
      <c r="B427">
        <v>7930</v>
      </c>
      <c r="C427">
        <v>1981</v>
      </c>
      <c r="D427">
        <v>13</v>
      </c>
      <c r="E427" t="s">
        <v>40</v>
      </c>
      <c r="F427" t="s">
        <v>44</v>
      </c>
      <c r="G427" t="s">
        <v>42</v>
      </c>
      <c r="H427" s="1">
        <v>45050</v>
      </c>
      <c r="I427" t="s">
        <v>462</v>
      </c>
      <c r="J427" t="s">
        <v>83</v>
      </c>
      <c r="K427" t="s">
        <v>98</v>
      </c>
      <c r="L427" s="1">
        <v>45047</v>
      </c>
      <c r="M427">
        <v>0.249810844892812</v>
      </c>
      <c r="N427">
        <v>1.0200078462141999E-3</v>
      </c>
    </row>
    <row r="428" spans="1:14" x14ac:dyDescent="0.25">
      <c r="A428" t="s">
        <v>461</v>
      </c>
      <c r="B428">
        <v>7930</v>
      </c>
      <c r="C428">
        <v>1981</v>
      </c>
      <c r="D428">
        <v>13</v>
      </c>
      <c r="E428" t="s">
        <v>40</v>
      </c>
      <c r="F428" t="s">
        <v>44</v>
      </c>
      <c r="G428" t="s">
        <v>42</v>
      </c>
      <c r="H428" s="1">
        <v>45513</v>
      </c>
      <c r="I428" t="s">
        <v>463</v>
      </c>
      <c r="J428" t="s">
        <v>21</v>
      </c>
      <c r="K428" t="s">
        <v>55</v>
      </c>
      <c r="L428" s="1">
        <v>45505</v>
      </c>
      <c r="M428">
        <v>0.249810844892812</v>
      </c>
      <c r="N428">
        <v>1.0200078462141999E-3</v>
      </c>
    </row>
    <row r="429" spans="1:14" x14ac:dyDescent="0.25">
      <c r="A429" t="s">
        <v>464</v>
      </c>
      <c r="B429">
        <v>9894</v>
      </c>
      <c r="C429">
        <v>829</v>
      </c>
      <c r="D429">
        <v>1</v>
      </c>
      <c r="E429" t="s">
        <v>28</v>
      </c>
      <c r="F429" t="s">
        <v>68</v>
      </c>
      <c r="G429" t="s">
        <v>57</v>
      </c>
      <c r="H429" s="1">
        <v>44794</v>
      </c>
      <c r="I429" t="s">
        <v>465</v>
      </c>
      <c r="J429" t="s">
        <v>38</v>
      </c>
      <c r="K429" t="s">
        <v>66</v>
      </c>
      <c r="L429" s="1">
        <v>44774</v>
      </c>
      <c r="M429">
        <v>8.3788154437032497E-2</v>
      </c>
      <c r="N429">
        <v>7.8462142016476997E-5</v>
      </c>
    </row>
    <row r="430" spans="1:14" x14ac:dyDescent="0.25">
      <c r="A430" t="s">
        <v>464</v>
      </c>
      <c r="B430">
        <v>4534</v>
      </c>
      <c r="C430">
        <v>2235</v>
      </c>
      <c r="D430">
        <v>4</v>
      </c>
      <c r="E430" t="s">
        <v>40</v>
      </c>
      <c r="F430" t="s">
        <v>41</v>
      </c>
      <c r="G430" t="s">
        <v>57</v>
      </c>
      <c r="H430" s="1">
        <v>44794</v>
      </c>
      <c r="I430" t="s">
        <v>465</v>
      </c>
      <c r="J430" t="s">
        <v>38</v>
      </c>
      <c r="K430" t="s">
        <v>66</v>
      </c>
      <c r="L430" s="1">
        <v>44774</v>
      </c>
      <c r="M430">
        <v>0.492942214380238</v>
      </c>
      <c r="N430">
        <v>3.1384856806590799E-4</v>
      </c>
    </row>
    <row r="431" spans="1:14" x14ac:dyDescent="0.25">
      <c r="A431" t="s">
        <v>466</v>
      </c>
      <c r="B431">
        <v>4911</v>
      </c>
      <c r="C431">
        <v>186</v>
      </c>
      <c r="D431">
        <v>20</v>
      </c>
      <c r="E431" t="s">
        <v>14</v>
      </c>
      <c r="F431" t="s">
        <v>71</v>
      </c>
      <c r="G431" t="s">
        <v>30</v>
      </c>
      <c r="H431" s="1">
        <v>44731</v>
      </c>
      <c r="I431" t="s">
        <v>467</v>
      </c>
      <c r="J431" t="s">
        <v>24</v>
      </c>
      <c r="K431" t="s">
        <v>25</v>
      </c>
      <c r="L431" s="1">
        <v>44713</v>
      </c>
      <c r="M431">
        <v>3.7874160048869898E-2</v>
      </c>
      <c r="N431">
        <v>1.5692428403295401E-3</v>
      </c>
    </row>
    <row r="432" spans="1:14" x14ac:dyDescent="0.25">
      <c r="A432" t="s">
        <v>466</v>
      </c>
      <c r="B432">
        <v>531</v>
      </c>
      <c r="C432">
        <v>189</v>
      </c>
      <c r="D432">
        <v>20</v>
      </c>
      <c r="E432" t="s">
        <v>40</v>
      </c>
      <c r="F432" t="s">
        <v>91</v>
      </c>
      <c r="G432" t="s">
        <v>30</v>
      </c>
      <c r="H432" s="1">
        <v>44731</v>
      </c>
      <c r="I432" t="s">
        <v>467</v>
      </c>
      <c r="J432" t="s">
        <v>24</v>
      </c>
      <c r="K432" t="s">
        <v>25</v>
      </c>
      <c r="L432" s="1">
        <v>44713</v>
      </c>
      <c r="M432">
        <v>0.35593220338983</v>
      </c>
      <c r="N432">
        <v>1.5692428403295401E-3</v>
      </c>
    </row>
    <row r="433" spans="1:14" x14ac:dyDescent="0.25">
      <c r="A433" t="s">
        <v>468</v>
      </c>
      <c r="B433">
        <v>9707</v>
      </c>
      <c r="C433">
        <v>3483</v>
      </c>
      <c r="D433">
        <v>10</v>
      </c>
      <c r="E433" t="s">
        <v>14</v>
      </c>
      <c r="F433" t="s">
        <v>15</v>
      </c>
      <c r="G433" t="s">
        <v>36</v>
      </c>
      <c r="H433" s="1">
        <v>45686</v>
      </c>
      <c r="I433" t="s">
        <v>469</v>
      </c>
      <c r="J433" t="s">
        <v>21</v>
      </c>
      <c r="K433" t="s">
        <v>138</v>
      </c>
      <c r="L433" s="1">
        <v>45658</v>
      </c>
      <c r="M433">
        <v>0.35881322756773498</v>
      </c>
      <c r="N433">
        <v>7.8462142016477005E-4</v>
      </c>
    </row>
    <row r="434" spans="1:14" x14ac:dyDescent="0.25">
      <c r="A434" t="s">
        <v>468</v>
      </c>
      <c r="B434">
        <v>8521</v>
      </c>
      <c r="C434">
        <v>2584</v>
      </c>
      <c r="D434">
        <v>7</v>
      </c>
      <c r="E434" t="s">
        <v>28</v>
      </c>
      <c r="F434" t="s">
        <v>56</v>
      </c>
      <c r="G434" t="s">
        <v>57</v>
      </c>
      <c r="H434" s="1">
        <v>45686</v>
      </c>
      <c r="I434" t="s">
        <v>469</v>
      </c>
      <c r="J434" t="s">
        <v>21</v>
      </c>
      <c r="K434" t="s">
        <v>138</v>
      </c>
      <c r="L434" s="1">
        <v>45658</v>
      </c>
      <c r="M434">
        <v>0.30325079216054401</v>
      </c>
      <c r="N434">
        <v>5.4923499411533899E-4</v>
      </c>
    </row>
    <row r="435" spans="1:14" x14ac:dyDescent="0.25">
      <c r="A435" t="s">
        <v>470</v>
      </c>
      <c r="B435">
        <v>8438</v>
      </c>
      <c r="C435">
        <v>3427</v>
      </c>
      <c r="D435">
        <v>12</v>
      </c>
      <c r="E435" t="s">
        <v>28</v>
      </c>
      <c r="F435" t="s">
        <v>68</v>
      </c>
      <c r="G435" t="s">
        <v>42</v>
      </c>
      <c r="H435" s="1">
        <v>44575</v>
      </c>
      <c r="I435" t="s">
        <v>471</v>
      </c>
      <c r="J435" t="s">
        <v>24</v>
      </c>
      <c r="K435" t="s">
        <v>25</v>
      </c>
      <c r="L435" s="1">
        <v>44562</v>
      </c>
      <c r="M435">
        <v>0.40613889547286097</v>
      </c>
      <c r="N435">
        <v>9.4154570419772402E-4</v>
      </c>
    </row>
    <row r="436" spans="1:14" x14ac:dyDescent="0.25">
      <c r="A436" t="s">
        <v>470</v>
      </c>
      <c r="B436">
        <v>1689</v>
      </c>
      <c r="C436">
        <v>109</v>
      </c>
      <c r="D436">
        <v>9</v>
      </c>
      <c r="E436" t="s">
        <v>14</v>
      </c>
      <c r="F436" t="s">
        <v>15</v>
      </c>
      <c r="G436" t="s">
        <v>16</v>
      </c>
      <c r="H436" s="1">
        <v>44575</v>
      </c>
      <c r="I436" t="s">
        <v>471</v>
      </c>
      <c r="J436" t="s">
        <v>24</v>
      </c>
      <c r="K436" t="s">
        <v>25</v>
      </c>
      <c r="L436" s="1">
        <v>44562</v>
      </c>
      <c r="M436">
        <v>6.4535227945529905E-2</v>
      </c>
      <c r="N436">
        <v>7.0615927814829404E-4</v>
      </c>
    </row>
    <row r="437" spans="1:14" x14ac:dyDescent="0.25">
      <c r="A437" t="s">
        <v>470</v>
      </c>
      <c r="B437">
        <v>3936</v>
      </c>
      <c r="C437">
        <v>1626</v>
      </c>
      <c r="D437">
        <v>14</v>
      </c>
      <c r="E437" t="s">
        <v>28</v>
      </c>
      <c r="F437" t="s">
        <v>56</v>
      </c>
      <c r="G437" t="s">
        <v>57</v>
      </c>
      <c r="H437" s="1">
        <v>44575</v>
      </c>
      <c r="I437" t="s">
        <v>471</v>
      </c>
      <c r="J437" t="s">
        <v>24</v>
      </c>
      <c r="K437" t="s">
        <v>25</v>
      </c>
      <c r="L437" s="1">
        <v>44562</v>
      </c>
      <c r="M437">
        <v>0.41310975609756101</v>
      </c>
      <c r="N437">
        <v>1.0984699882306799E-3</v>
      </c>
    </row>
    <row r="438" spans="1:14" x14ac:dyDescent="0.25">
      <c r="A438" t="s">
        <v>472</v>
      </c>
      <c r="B438">
        <v>7664</v>
      </c>
      <c r="C438">
        <v>1753</v>
      </c>
      <c r="D438">
        <v>19</v>
      </c>
      <c r="E438" t="s">
        <v>14</v>
      </c>
      <c r="F438" t="s">
        <v>71</v>
      </c>
      <c r="G438" t="s">
        <v>30</v>
      </c>
      <c r="H438" s="1">
        <v>45092</v>
      </c>
      <c r="I438" t="s">
        <v>473</v>
      </c>
      <c r="J438" t="s">
        <v>83</v>
      </c>
      <c r="K438" t="s">
        <v>90</v>
      </c>
      <c r="L438" s="1">
        <v>45078</v>
      </c>
      <c r="M438">
        <v>0.22873173277661801</v>
      </c>
      <c r="N438">
        <v>1.4907806983130601E-3</v>
      </c>
    </row>
    <row r="439" spans="1:14" x14ac:dyDescent="0.25">
      <c r="A439" t="s">
        <v>474</v>
      </c>
      <c r="B439">
        <v>721</v>
      </c>
      <c r="C439">
        <v>258</v>
      </c>
      <c r="D439">
        <v>13</v>
      </c>
      <c r="E439" t="s">
        <v>14</v>
      </c>
      <c r="F439" t="s">
        <v>35</v>
      </c>
      <c r="G439" t="s">
        <v>30</v>
      </c>
      <c r="H439" s="1">
        <v>45217</v>
      </c>
      <c r="I439" t="s">
        <v>475</v>
      </c>
      <c r="J439" t="s">
        <v>21</v>
      </c>
      <c r="K439" t="s">
        <v>138</v>
      </c>
      <c r="L439" s="1">
        <v>45200</v>
      </c>
      <c r="M439">
        <v>0.35783633841886298</v>
      </c>
      <c r="N439">
        <v>1.0200078462141999E-3</v>
      </c>
    </row>
    <row r="440" spans="1:14" x14ac:dyDescent="0.25">
      <c r="A440" t="s">
        <v>474</v>
      </c>
      <c r="B440">
        <v>721</v>
      </c>
      <c r="C440">
        <v>258</v>
      </c>
      <c r="D440">
        <v>13</v>
      </c>
      <c r="E440" t="s">
        <v>14</v>
      </c>
      <c r="F440" t="s">
        <v>35</v>
      </c>
      <c r="G440" t="s">
        <v>30</v>
      </c>
      <c r="H440" s="1">
        <v>44725</v>
      </c>
      <c r="I440" t="s">
        <v>476</v>
      </c>
      <c r="J440" t="s">
        <v>24</v>
      </c>
      <c r="K440" t="s">
        <v>25</v>
      </c>
      <c r="L440" s="1">
        <v>44713</v>
      </c>
      <c r="M440">
        <v>0.35783633841886298</v>
      </c>
      <c r="N440">
        <v>1.0200078462141999E-3</v>
      </c>
    </row>
    <row r="441" spans="1:14" x14ac:dyDescent="0.25">
      <c r="A441" t="s">
        <v>474</v>
      </c>
      <c r="B441">
        <v>8364</v>
      </c>
      <c r="C441">
        <v>3055</v>
      </c>
      <c r="D441">
        <v>17</v>
      </c>
      <c r="E441" t="s">
        <v>14</v>
      </c>
      <c r="F441" t="s">
        <v>35</v>
      </c>
      <c r="G441" t="s">
        <v>42</v>
      </c>
      <c r="H441" s="1">
        <v>45217</v>
      </c>
      <c r="I441" t="s">
        <v>475</v>
      </c>
      <c r="J441" t="s">
        <v>21</v>
      </c>
      <c r="K441" t="s">
        <v>138</v>
      </c>
      <c r="L441" s="1">
        <v>45200</v>
      </c>
      <c r="M441">
        <v>0.365255858440937</v>
      </c>
      <c r="N441">
        <v>1.33385641428011E-3</v>
      </c>
    </row>
    <row r="442" spans="1:14" x14ac:dyDescent="0.25">
      <c r="A442" t="s">
        <v>474</v>
      </c>
      <c r="B442">
        <v>8364</v>
      </c>
      <c r="C442">
        <v>3055</v>
      </c>
      <c r="D442">
        <v>17</v>
      </c>
      <c r="E442" t="s">
        <v>14</v>
      </c>
      <c r="F442" t="s">
        <v>35</v>
      </c>
      <c r="G442" t="s">
        <v>42</v>
      </c>
      <c r="H442" s="1">
        <v>44725</v>
      </c>
      <c r="I442" t="s">
        <v>476</v>
      </c>
      <c r="J442" t="s">
        <v>24</v>
      </c>
      <c r="K442" t="s">
        <v>25</v>
      </c>
      <c r="L442" s="1">
        <v>44713</v>
      </c>
      <c r="M442">
        <v>0.365255858440937</v>
      </c>
      <c r="N442">
        <v>1.33385641428011E-3</v>
      </c>
    </row>
    <row r="443" spans="1:14" x14ac:dyDescent="0.25">
      <c r="A443" t="s">
        <v>474</v>
      </c>
      <c r="B443">
        <v>5234</v>
      </c>
      <c r="C443">
        <v>2021</v>
      </c>
      <c r="D443">
        <v>15</v>
      </c>
      <c r="E443" t="s">
        <v>40</v>
      </c>
      <c r="F443" t="s">
        <v>91</v>
      </c>
      <c r="G443" t="s">
        <v>36</v>
      </c>
      <c r="H443" s="1">
        <v>45217</v>
      </c>
      <c r="I443" t="s">
        <v>475</v>
      </c>
      <c r="J443" t="s">
        <v>21</v>
      </c>
      <c r="K443" t="s">
        <v>138</v>
      </c>
      <c r="L443" s="1">
        <v>45200</v>
      </c>
      <c r="M443">
        <v>0.38612915552159</v>
      </c>
      <c r="N443">
        <v>1.17693213024716E-3</v>
      </c>
    </row>
    <row r="444" spans="1:14" x14ac:dyDescent="0.25">
      <c r="A444" t="s">
        <v>474</v>
      </c>
      <c r="B444">
        <v>5234</v>
      </c>
      <c r="C444">
        <v>2021</v>
      </c>
      <c r="D444">
        <v>15</v>
      </c>
      <c r="E444" t="s">
        <v>40</v>
      </c>
      <c r="F444" t="s">
        <v>91</v>
      </c>
      <c r="G444" t="s">
        <v>36</v>
      </c>
      <c r="H444" s="1">
        <v>44725</v>
      </c>
      <c r="I444" t="s">
        <v>476</v>
      </c>
      <c r="J444" t="s">
        <v>24</v>
      </c>
      <c r="K444" t="s">
        <v>25</v>
      </c>
      <c r="L444" s="1">
        <v>44713</v>
      </c>
      <c r="M444">
        <v>0.38612915552159</v>
      </c>
      <c r="N444">
        <v>1.17693213024716E-3</v>
      </c>
    </row>
    <row r="445" spans="1:14" x14ac:dyDescent="0.25">
      <c r="A445" t="s">
        <v>477</v>
      </c>
      <c r="B445">
        <v>3944</v>
      </c>
      <c r="C445">
        <v>1559</v>
      </c>
      <c r="D445">
        <v>18</v>
      </c>
      <c r="E445" t="s">
        <v>14</v>
      </c>
      <c r="F445" t="s">
        <v>71</v>
      </c>
      <c r="G445" t="s">
        <v>42</v>
      </c>
      <c r="H445" s="1">
        <v>45455</v>
      </c>
      <c r="I445" t="s">
        <v>478</v>
      </c>
      <c r="J445" t="s">
        <v>38</v>
      </c>
      <c r="K445" t="s">
        <v>79</v>
      </c>
      <c r="L445" s="1">
        <v>45444</v>
      </c>
      <c r="M445">
        <v>0.39528397565922901</v>
      </c>
      <c r="N445">
        <v>1.41231855629659E-3</v>
      </c>
    </row>
    <row r="446" spans="1:14" x14ac:dyDescent="0.25">
      <c r="A446" t="s">
        <v>477</v>
      </c>
      <c r="B446">
        <v>6711</v>
      </c>
      <c r="C446">
        <v>1045</v>
      </c>
      <c r="D446">
        <v>12</v>
      </c>
      <c r="E446" t="s">
        <v>28</v>
      </c>
      <c r="F446" t="s">
        <v>29</v>
      </c>
      <c r="G446" t="s">
        <v>42</v>
      </c>
      <c r="H446" s="1">
        <v>45455</v>
      </c>
      <c r="I446" t="s">
        <v>478</v>
      </c>
      <c r="J446" t="s">
        <v>38</v>
      </c>
      <c r="K446" t="s">
        <v>79</v>
      </c>
      <c r="L446" s="1">
        <v>45444</v>
      </c>
      <c r="M446">
        <v>0.155714498584414</v>
      </c>
      <c r="N446">
        <v>9.4154570419772402E-4</v>
      </c>
    </row>
    <row r="447" spans="1:14" x14ac:dyDescent="0.25">
      <c r="A447" t="s">
        <v>477</v>
      </c>
      <c r="B447">
        <v>5031</v>
      </c>
      <c r="C447">
        <v>714</v>
      </c>
      <c r="D447">
        <v>4</v>
      </c>
      <c r="E447" t="s">
        <v>40</v>
      </c>
      <c r="F447" t="s">
        <v>41</v>
      </c>
      <c r="G447" t="s">
        <v>42</v>
      </c>
      <c r="H447" s="1">
        <v>45455</v>
      </c>
      <c r="I447" t="s">
        <v>478</v>
      </c>
      <c r="J447" t="s">
        <v>38</v>
      </c>
      <c r="K447" t="s">
        <v>79</v>
      </c>
      <c r="L447" s="1">
        <v>45444</v>
      </c>
      <c r="M447">
        <v>0.14192009540846801</v>
      </c>
      <c r="N447">
        <v>3.1384856806590799E-4</v>
      </c>
    </row>
    <row r="448" spans="1:14" x14ac:dyDescent="0.25">
      <c r="A448" t="s">
        <v>477</v>
      </c>
      <c r="B448">
        <v>6295</v>
      </c>
      <c r="C448">
        <v>2469</v>
      </c>
      <c r="D448">
        <v>14</v>
      </c>
      <c r="E448" t="s">
        <v>28</v>
      </c>
      <c r="F448" t="s">
        <v>68</v>
      </c>
      <c r="G448" t="s">
        <v>36</v>
      </c>
      <c r="H448" s="1">
        <v>45455</v>
      </c>
      <c r="I448" t="s">
        <v>478</v>
      </c>
      <c r="J448" t="s">
        <v>38</v>
      </c>
      <c r="K448" t="s">
        <v>79</v>
      </c>
      <c r="L448" s="1">
        <v>45444</v>
      </c>
      <c r="M448">
        <v>0.39221604447974601</v>
      </c>
      <c r="N448">
        <v>1.0984699882306799E-3</v>
      </c>
    </row>
    <row r="449" spans="1:14" x14ac:dyDescent="0.25">
      <c r="A449" t="s">
        <v>479</v>
      </c>
      <c r="B449">
        <v>9654</v>
      </c>
      <c r="C449">
        <v>4111</v>
      </c>
      <c r="D449">
        <v>1</v>
      </c>
      <c r="E449" t="s">
        <v>28</v>
      </c>
      <c r="F449" t="s">
        <v>56</v>
      </c>
      <c r="G449" t="s">
        <v>16</v>
      </c>
      <c r="H449" s="1">
        <v>44739</v>
      </c>
      <c r="I449" t="s">
        <v>480</v>
      </c>
      <c r="J449" t="s">
        <v>38</v>
      </c>
      <c r="K449" t="s">
        <v>79</v>
      </c>
      <c r="L449" s="1">
        <v>44713</v>
      </c>
      <c r="M449">
        <v>0.42583385125336598</v>
      </c>
      <c r="N449">
        <v>7.8462142016476997E-5</v>
      </c>
    </row>
    <row r="450" spans="1:14" x14ac:dyDescent="0.25">
      <c r="A450" t="s">
        <v>479</v>
      </c>
      <c r="B450">
        <v>3112</v>
      </c>
      <c r="C450">
        <v>1065</v>
      </c>
      <c r="D450">
        <v>20</v>
      </c>
      <c r="E450" t="s">
        <v>28</v>
      </c>
      <c r="F450" t="s">
        <v>68</v>
      </c>
      <c r="G450" t="s">
        <v>57</v>
      </c>
      <c r="H450" s="1">
        <v>44739</v>
      </c>
      <c r="I450" t="s">
        <v>480</v>
      </c>
      <c r="J450" t="s">
        <v>38</v>
      </c>
      <c r="K450" t="s">
        <v>79</v>
      </c>
      <c r="L450" s="1">
        <v>44713</v>
      </c>
      <c r="M450">
        <v>0.34222365038560398</v>
      </c>
      <c r="N450">
        <v>1.5692428403295401E-3</v>
      </c>
    </row>
    <row r="451" spans="1:14" x14ac:dyDescent="0.25">
      <c r="A451" t="s">
        <v>481</v>
      </c>
      <c r="B451">
        <v>7838</v>
      </c>
      <c r="C451">
        <v>1142</v>
      </c>
      <c r="D451">
        <v>13</v>
      </c>
      <c r="E451" t="s">
        <v>14</v>
      </c>
      <c r="F451" t="s">
        <v>71</v>
      </c>
      <c r="G451" t="s">
        <v>16</v>
      </c>
      <c r="H451" s="1">
        <v>44245</v>
      </c>
      <c r="I451" t="s">
        <v>482</v>
      </c>
      <c r="J451" t="s">
        <v>38</v>
      </c>
      <c r="K451" t="s">
        <v>79</v>
      </c>
      <c r="L451" s="1">
        <v>44228</v>
      </c>
      <c r="M451">
        <v>0.145700433784129</v>
      </c>
      <c r="N451">
        <v>1.0200078462141999E-3</v>
      </c>
    </row>
    <row r="452" spans="1:14" x14ac:dyDescent="0.25">
      <c r="A452" t="s">
        <v>481</v>
      </c>
      <c r="B452">
        <v>9300</v>
      </c>
      <c r="C452">
        <v>3146</v>
      </c>
      <c r="D452">
        <v>6</v>
      </c>
      <c r="E452" t="s">
        <v>14</v>
      </c>
      <c r="F452" t="s">
        <v>71</v>
      </c>
      <c r="G452" t="s">
        <v>42</v>
      </c>
      <c r="H452" s="1">
        <v>44245</v>
      </c>
      <c r="I452" t="s">
        <v>482</v>
      </c>
      <c r="J452" t="s">
        <v>38</v>
      </c>
      <c r="K452" t="s">
        <v>79</v>
      </c>
      <c r="L452" s="1">
        <v>44228</v>
      </c>
      <c r="M452">
        <v>0.33827956989247299</v>
      </c>
      <c r="N452">
        <v>4.7077285209886201E-4</v>
      </c>
    </row>
    <row r="453" spans="1:14" x14ac:dyDescent="0.25">
      <c r="A453" t="s">
        <v>481</v>
      </c>
      <c r="B453">
        <v>1733</v>
      </c>
      <c r="C453">
        <v>133</v>
      </c>
      <c r="D453">
        <v>17</v>
      </c>
      <c r="E453" t="s">
        <v>28</v>
      </c>
      <c r="F453" t="s">
        <v>56</v>
      </c>
      <c r="G453" t="s">
        <v>30</v>
      </c>
      <c r="H453" s="1">
        <v>44245</v>
      </c>
      <c r="I453" t="s">
        <v>482</v>
      </c>
      <c r="J453" t="s">
        <v>38</v>
      </c>
      <c r="K453" t="s">
        <v>79</v>
      </c>
      <c r="L453" s="1">
        <v>44228</v>
      </c>
      <c r="M453">
        <v>7.6745527986151196E-2</v>
      </c>
      <c r="N453">
        <v>1.33385641428011E-3</v>
      </c>
    </row>
    <row r="454" spans="1:14" x14ac:dyDescent="0.25">
      <c r="A454" t="s">
        <v>483</v>
      </c>
      <c r="B454">
        <v>874</v>
      </c>
      <c r="C454">
        <v>235</v>
      </c>
      <c r="D454">
        <v>15</v>
      </c>
      <c r="E454" t="s">
        <v>28</v>
      </c>
      <c r="F454" t="s">
        <v>68</v>
      </c>
      <c r="G454" t="s">
        <v>30</v>
      </c>
      <c r="H454" s="1">
        <v>45075</v>
      </c>
      <c r="I454" t="s">
        <v>484</v>
      </c>
      <c r="J454" t="s">
        <v>24</v>
      </c>
      <c r="K454" t="s">
        <v>60</v>
      </c>
      <c r="L454" s="1">
        <v>45047</v>
      </c>
      <c r="M454">
        <v>0.26887871853546902</v>
      </c>
      <c r="N454">
        <v>1.17693213024716E-3</v>
      </c>
    </row>
    <row r="455" spans="1:14" x14ac:dyDescent="0.25">
      <c r="A455" t="s">
        <v>483</v>
      </c>
      <c r="B455">
        <v>874</v>
      </c>
      <c r="C455">
        <v>235</v>
      </c>
      <c r="D455">
        <v>15</v>
      </c>
      <c r="E455" t="s">
        <v>28</v>
      </c>
      <c r="F455" t="s">
        <v>68</v>
      </c>
      <c r="G455" t="s">
        <v>30</v>
      </c>
      <c r="H455" s="1">
        <v>44351</v>
      </c>
      <c r="I455" t="s">
        <v>485</v>
      </c>
      <c r="J455" t="s">
        <v>18</v>
      </c>
      <c r="K455" t="s">
        <v>19</v>
      </c>
      <c r="L455" s="1">
        <v>44348</v>
      </c>
      <c r="M455">
        <v>0.26887871853546902</v>
      </c>
      <c r="N455">
        <v>1.17693213024716E-3</v>
      </c>
    </row>
    <row r="456" spans="1:14" x14ac:dyDescent="0.25">
      <c r="A456" t="s">
        <v>486</v>
      </c>
      <c r="B456">
        <v>1248</v>
      </c>
      <c r="C456">
        <v>584</v>
      </c>
      <c r="D456">
        <v>13</v>
      </c>
      <c r="E456" t="s">
        <v>28</v>
      </c>
      <c r="F456" t="s">
        <v>29</v>
      </c>
      <c r="G456" t="s">
        <v>36</v>
      </c>
      <c r="H456" s="1">
        <v>45313</v>
      </c>
      <c r="I456" t="s">
        <v>487</v>
      </c>
      <c r="J456" t="s">
        <v>83</v>
      </c>
      <c r="K456" t="s">
        <v>84</v>
      </c>
      <c r="L456" s="1">
        <v>45292</v>
      </c>
      <c r="M456">
        <v>0.46794871794871801</v>
      </c>
      <c r="N456">
        <v>1.0200078462141999E-3</v>
      </c>
    </row>
    <row r="457" spans="1:14" x14ac:dyDescent="0.25">
      <c r="A457" t="s">
        <v>486</v>
      </c>
      <c r="B457">
        <v>1248</v>
      </c>
      <c r="C457">
        <v>584</v>
      </c>
      <c r="D457">
        <v>13</v>
      </c>
      <c r="E457" t="s">
        <v>28</v>
      </c>
      <c r="F457" t="s">
        <v>29</v>
      </c>
      <c r="G457" t="s">
        <v>36</v>
      </c>
      <c r="H457" s="1">
        <v>44922</v>
      </c>
      <c r="I457" t="s">
        <v>488</v>
      </c>
      <c r="J457" t="s">
        <v>38</v>
      </c>
      <c r="K457" t="s">
        <v>79</v>
      </c>
      <c r="L457" s="1">
        <v>44896</v>
      </c>
      <c r="M457">
        <v>0.46794871794871801</v>
      </c>
      <c r="N457">
        <v>1.0200078462141999E-3</v>
      </c>
    </row>
    <row r="458" spans="1:14" x14ac:dyDescent="0.25">
      <c r="A458" t="s">
        <v>486</v>
      </c>
      <c r="B458">
        <v>3669</v>
      </c>
      <c r="C458">
        <v>154</v>
      </c>
      <c r="D458">
        <v>14</v>
      </c>
      <c r="E458" t="s">
        <v>28</v>
      </c>
      <c r="F458" t="s">
        <v>50</v>
      </c>
      <c r="G458" t="s">
        <v>36</v>
      </c>
      <c r="H458" s="1">
        <v>45313</v>
      </c>
      <c r="I458" t="s">
        <v>487</v>
      </c>
      <c r="J458" t="s">
        <v>83</v>
      </c>
      <c r="K458" t="s">
        <v>84</v>
      </c>
      <c r="L458" s="1">
        <v>45292</v>
      </c>
      <c r="M458">
        <v>4.19732897247206E-2</v>
      </c>
      <c r="N458">
        <v>1.0984699882306799E-3</v>
      </c>
    </row>
    <row r="459" spans="1:14" x14ac:dyDescent="0.25">
      <c r="A459" t="s">
        <v>486</v>
      </c>
      <c r="B459">
        <v>3669</v>
      </c>
      <c r="C459">
        <v>154</v>
      </c>
      <c r="D459">
        <v>14</v>
      </c>
      <c r="E459" t="s">
        <v>28</v>
      </c>
      <c r="F459" t="s">
        <v>50</v>
      </c>
      <c r="G459" t="s">
        <v>36</v>
      </c>
      <c r="H459" s="1">
        <v>44922</v>
      </c>
      <c r="I459" t="s">
        <v>488</v>
      </c>
      <c r="J459" t="s">
        <v>38</v>
      </c>
      <c r="K459" t="s">
        <v>79</v>
      </c>
      <c r="L459" s="1">
        <v>44896</v>
      </c>
      <c r="M459">
        <v>4.19732897247206E-2</v>
      </c>
      <c r="N459">
        <v>1.0984699882306799E-3</v>
      </c>
    </row>
    <row r="460" spans="1:14" x14ac:dyDescent="0.25">
      <c r="A460" t="s">
        <v>486</v>
      </c>
      <c r="B460">
        <v>514</v>
      </c>
      <c r="C460">
        <v>109</v>
      </c>
      <c r="D460">
        <v>15</v>
      </c>
      <c r="E460" t="s">
        <v>28</v>
      </c>
      <c r="F460" t="s">
        <v>56</v>
      </c>
      <c r="G460" t="s">
        <v>30</v>
      </c>
      <c r="H460" s="1">
        <v>45313</v>
      </c>
      <c r="I460" t="s">
        <v>487</v>
      </c>
      <c r="J460" t="s">
        <v>83</v>
      </c>
      <c r="K460" t="s">
        <v>84</v>
      </c>
      <c r="L460" s="1">
        <v>45292</v>
      </c>
      <c r="M460">
        <v>0.21206225680933899</v>
      </c>
      <c r="N460">
        <v>1.17693213024716E-3</v>
      </c>
    </row>
    <row r="461" spans="1:14" x14ac:dyDescent="0.25">
      <c r="A461" t="s">
        <v>486</v>
      </c>
      <c r="B461">
        <v>514</v>
      </c>
      <c r="C461">
        <v>109</v>
      </c>
      <c r="D461">
        <v>15</v>
      </c>
      <c r="E461" t="s">
        <v>28</v>
      </c>
      <c r="F461" t="s">
        <v>56</v>
      </c>
      <c r="G461" t="s">
        <v>30</v>
      </c>
      <c r="H461" s="1">
        <v>44922</v>
      </c>
      <c r="I461" t="s">
        <v>488</v>
      </c>
      <c r="J461" t="s">
        <v>38</v>
      </c>
      <c r="K461" t="s">
        <v>79</v>
      </c>
      <c r="L461" s="1">
        <v>44896</v>
      </c>
      <c r="M461">
        <v>0.21206225680933899</v>
      </c>
      <c r="N461">
        <v>1.17693213024716E-3</v>
      </c>
    </row>
    <row r="462" spans="1:14" x14ac:dyDescent="0.25">
      <c r="A462" t="s">
        <v>489</v>
      </c>
      <c r="B462">
        <v>3273</v>
      </c>
      <c r="C462">
        <v>85</v>
      </c>
      <c r="D462">
        <v>16</v>
      </c>
      <c r="E462" t="s">
        <v>14</v>
      </c>
      <c r="F462" t="s">
        <v>71</v>
      </c>
      <c r="G462" t="s">
        <v>16</v>
      </c>
      <c r="H462" s="1">
        <v>45381</v>
      </c>
      <c r="I462" t="s">
        <v>490</v>
      </c>
      <c r="J462" t="s">
        <v>83</v>
      </c>
      <c r="K462" t="s">
        <v>90</v>
      </c>
      <c r="L462" s="1">
        <v>45352</v>
      </c>
      <c r="M462">
        <v>2.5970058050718E-2</v>
      </c>
      <c r="N462">
        <v>1.25539427226363E-3</v>
      </c>
    </row>
    <row r="463" spans="1:14" x14ac:dyDescent="0.25">
      <c r="A463" t="s">
        <v>491</v>
      </c>
      <c r="B463">
        <v>5035</v>
      </c>
      <c r="C463">
        <v>2008</v>
      </c>
      <c r="D463">
        <v>2</v>
      </c>
      <c r="E463" t="s">
        <v>40</v>
      </c>
      <c r="F463" t="s">
        <v>44</v>
      </c>
      <c r="G463" t="s">
        <v>57</v>
      </c>
      <c r="H463" s="1">
        <v>43925</v>
      </c>
      <c r="I463" t="s">
        <v>492</v>
      </c>
      <c r="J463" t="s">
        <v>18</v>
      </c>
      <c r="K463" t="s">
        <v>19</v>
      </c>
      <c r="L463" s="1">
        <v>43922</v>
      </c>
      <c r="M463">
        <v>0.39880834160873901</v>
      </c>
      <c r="N463">
        <v>1.5692428403295399E-4</v>
      </c>
    </row>
    <row r="464" spans="1:14" x14ac:dyDescent="0.25">
      <c r="A464" t="s">
        <v>491</v>
      </c>
      <c r="B464">
        <v>7702</v>
      </c>
      <c r="C464">
        <v>60</v>
      </c>
      <c r="D464">
        <v>19</v>
      </c>
      <c r="E464" t="s">
        <v>14</v>
      </c>
      <c r="F464" t="s">
        <v>26</v>
      </c>
      <c r="G464" t="s">
        <v>16</v>
      </c>
      <c r="H464" s="1">
        <v>43925</v>
      </c>
      <c r="I464" t="s">
        <v>492</v>
      </c>
      <c r="J464" t="s">
        <v>18</v>
      </c>
      <c r="K464" t="s">
        <v>19</v>
      </c>
      <c r="L464" s="1">
        <v>43922</v>
      </c>
      <c r="M464">
        <v>7.7901843676966998E-3</v>
      </c>
      <c r="N464">
        <v>1.4907806983130601E-3</v>
      </c>
    </row>
    <row r="465" spans="1:14" x14ac:dyDescent="0.25">
      <c r="A465" t="s">
        <v>491</v>
      </c>
      <c r="B465">
        <v>9884</v>
      </c>
      <c r="C465">
        <v>4446</v>
      </c>
      <c r="D465">
        <v>7</v>
      </c>
      <c r="E465" t="s">
        <v>14</v>
      </c>
      <c r="F465" t="s">
        <v>26</v>
      </c>
      <c r="G465" t="s">
        <v>36</v>
      </c>
      <c r="H465" s="1">
        <v>43925</v>
      </c>
      <c r="I465" t="s">
        <v>492</v>
      </c>
      <c r="J465" t="s">
        <v>18</v>
      </c>
      <c r="K465" t="s">
        <v>19</v>
      </c>
      <c r="L465" s="1">
        <v>43922</v>
      </c>
      <c r="M465">
        <v>0.449817887494941</v>
      </c>
      <c r="N465">
        <v>5.4923499411533899E-4</v>
      </c>
    </row>
    <row r="466" spans="1:14" x14ac:dyDescent="0.25">
      <c r="A466" t="s">
        <v>493</v>
      </c>
      <c r="B466">
        <v>5564</v>
      </c>
      <c r="C466">
        <v>175</v>
      </c>
      <c r="D466">
        <v>11</v>
      </c>
      <c r="E466" t="s">
        <v>14</v>
      </c>
      <c r="F466" t="s">
        <v>35</v>
      </c>
      <c r="G466" t="s">
        <v>57</v>
      </c>
      <c r="H466" s="1">
        <v>44948</v>
      </c>
      <c r="I466" t="s">
        <v>494</v>
      </c>
      <c r="J466" t="s">
        <v>21</v>
      </c>
      <c r="K466" t="s">
        <v>22</v>
      </c>
      <c r="L466" s="1">
        <v>44927</v>
      </c>
      <c r="M466">
        <v>3.1452192667145898E-2</v>
      </c>
      <c r="N466">
        <v>8.6308356218124801E-4</v>
      </c>
    </row>
    <row r="467" spans="1:14" x14ac:dyDescent="0.25">
      <c r="A467" t="s">
        <v>493</v>
      </c>
      <c r="B467">
        <v>5564</v>
      </c>
      <c r="C467">
        <v>175</v>
      </c>
      <c r="D467">
        <v>11</v>
      </c>
      <c r="E467" t="s">
        <v>14</v>
      </c>
      <c r="F467" t="s">
        <v>35</v>
      </c>
      <c r="G467" t="s">
        <v>57</v>
      </c>
      <c r="H467" s="1">
        <v>44663</v>
      </c>
      <c r="I467" t="s">
        <v>495</v>
      </c>
      <c r="J467" t="s">
        <v>63</v>
      </c>
      <c r="K467" t="s">
        <v>112</v>
      </c>
      <c r="L467" s="1">
        <v>44652</v>
      </c>
      <c r="M467">
        <v>3.1452192667145898E-2</v>
      </c>
      <c r="N467">
        <v>8.6308356218124801E-4</v>
      </c>
    </row>
    <row r="468" spans="1:14" x14ac:dyDescent="0.25">
      <c r="A468" t="s">
        <v>493</v>
      </c>
      <c r="B468">
        <v>5564</v>
      </c>
      <c r="C468">
        <v>175</v>
      </c>
      <c r="D468">
        <v>11</v>
      </c>
      <c r="E468" t="s">
        <v>14</v>
      </c>
      <c r="F468" t="s">
        <v>35</v>
      </c>
      <c r="G468" t="s">
        <v>57</v>
      </c>
      <c r="H468" s="1">
        <v>45273</v>
      </c>
      <c r="I468" t="s">
        <v>496</v>
      </c>
      <c r="J468" t="s">
        <v>18</v>
      </c>
      <c r="K468" t="s">
        <v>19</v>
      </c>
      <c r="L468" s="1">
        <v>45261</v>
      </c>
      <c r="M468">
        <v>3.1452192667145898E-2</v>
      </c>
      <c r="N468">
        <v>8.6308356218124801E-4</v>
      </c>
    </row>
    <row r="469" spans="1:14" x14ac:dyDescent="0.25">
      <c r="A469" t="s">
        <v>493</v>
      </c>
      <c r="B469">
        <v>3953</v>
      </c>
      <c r="C469">
        <v>1776</v>
      </c>
      <c r="D469">
        <v>15</v>
      </c>
      <c r="E469" t="s">
        <v>14</v>
      </c>
      <c r="F469" t="s">
        <v>15</v>
      </c>
      <c r="G469" t="s">
        <v>16</v>
      </c>
      <c r="H469" s="1">
        <v>44948</v>
      </c>
      <c r="I469" t="s">
        <v>494</v>
      </c>
      <c r="J469" t="s">
        <v>21</v>
      </c>
      <c r="K469" t="s">
        <v>22</v>
      </c>
      <c r="L469" s="1">
        <v>44927</v>
      </c>
      <c r="M469">
        <v>0.44927902858588398</v>
      </c>
      <c r="N469">
        <v>1.17693213024716E-3</v>
      </c>
    </row>
    <row r="470" spans="1:14" x14ac:dyDescent="0.25">
      <c r="A470" t="s">
        <v>493</v>
      </c>
      <c r="B470">
        <v>3953</v>
      </c>
      <c r="C470">
        <v>1776</v>
      </c>
      <c r="D470">
        <v>15</v>
      </c>
      <c r="E470" t="s">
        <v>14</v>
      </c>
      <c r="F470" t="s">
        <v>15</v>
      </c>
      <c r="G470" t="s">
        <v>16</v>
      </c>
      <c r="H470" s="1">
        <v>44663</v>
      </c>
      <c r="I470" t="s">
        <v>495</v>
      </c>
      <c r="J470" t="s">
        <v>63</v>
      </c>
      <c r="K470" t="s">
        <v>112</v>
      </c>
      <c r="L470" s="1">
        <v>44652</v>
      </c>
      <c r="M470">
        <v>0.44927902858588398</v>
      </c>
      <c r="N470">
        <v>1.17693213024716E-3</v>
      </c>
    </row>
    <row r="471" spans="1:14" x14ac:dyDescent="0.25">
      <c r="A471" t="s">
        <v>493</v>
      </c>
      <c r="B471">
        <v>3953</v>
      </c>
      <c r="C471">
        <v>1776</v>
      </c>
      <c r="D471">
        <v>15</v>
      </c>
      <c r="E471" t="s">
        <v>14</v>
      </c>
      <c r="F471" t="s">
        <v>15</v>
      </c>
      <c r="G471" t="s">
        <v>16</v>
      </c>
      <c r="H471" s="1">
        <v>45273</v>
      </c>
      <c r="I471" t="s">
        <v>496</v>
      </c>
      <c r="J471" t="s">
        <v>18</v>
      </c>
      <c r="K471" t="s">
        <v>19</v>
      </c>
      <c r="L471" s="1">
        <v>45261</v>
      </c>
      <c r="M471">
        <v>0.44927902858588398</v>
      </c>
      <c r="N471">
        <v>1.17693213024716E-3</v>
      </c>
    </row>
    <row r="472" spans="1:14" x14ac:dyDescent="0.25">
      <c r="A472" t="s">
        <v>497</v>
      </c>
      <c r="B472">
        <v>6488</v>
      </c>
      <c r="C472">
        <v>1591</v>
      </c>
      <c r="D472">
        <v>18</v>
      </c>
      <c r="E472" t="s">
        <v>14</v>
      </c>
      <c r="F472" t="s">
        <v>26</v>
      </c>
      <c r="G472" t="s">
        <v>36</v>
      </c>
      <c r="H472" s="1">
        <v>45070</v>
      </c>
      <c r="I472" t="s">
        <v>498</v>
      </c>
      <c r="J472" t="s">
        <v>63</v>
      </c>
      <c r="K472" t="s">
        <v>64</v>
      </c>
      <c r="L472" s="1">
        <v>45047</v>
      </c>
      <c r="M472">
        <v>0.24522194821208401</v>
      </c>
      <c r="N472">
        <v>1.41231855629659E-3</v>
      </c>
    </row>
    <row r="473" spans="1:14" x14ac:dyDescent="0.25">
      <c r="A473" t="s">
        <v>497</v>
      </c>
      <c r="B473">
        <v>6488</v>
      </c>
      <c r="C473">
        <v>1591</v>
      </c>
      <c r="D473">
        <v>18</v>
      </c>
      <c r="E473" t="s">
        <v>14</v>
      </c>
      <c r="F473" t="s">
        <v>26</v>
      </c>
      <c r="G473" t="s">
        <v>36</v>
      </c>
      <c r="H473" s="1">
        <v>44164</v>
      </c>
      <c r="I473" t="s">
        <v>499</v>
      </c>
      <c r="J473" t="s">
        <v>63</v>
      </c>
      <c r="K473" t="s">
        <v>112</v>
      </c>
      <c r="L473" s="1">
        <v>44136</v>
      </c>
      <c r="M473">
        <v>0.24522194821208401</v>
      </c>
      <c r="N473">
        <v>1.41231855629659E-3</v>
      </c>
    </row>
    <row r="474" spans="1:14" x14ac:dyDescent="0.25">
      <c r="A474" t="s">
        <v>500</v>
      </c>
      <c r="B474">
        <v>7856</v>
      </c>
      <c r="C474">
        <v>3699</v>
      </c>
      <c r="D474">
        <v>17</v>
      </c>
      <c r="E474" t="s">
        <v>14</v>
      </c>
      <c r="F474" t="s">
        <v>15</v>
      </c>
      <c r="G474" t="s">
        <v>16</v>
      </c>
      <c r="H474" s="1">
        <v>44279</v>
      </c>
      <c r="I474" t="s">
        <v>501</v>
      </c>
      <c r="J474" t="s">
        <v>18</v>
      </c>
      <c r="K474" t="s">
        <v>32</v>
      </c>
      <c r="L474" s="1">
        <v>44256</v>
      </c>
      <c r="M474">
        <v>0.47085030549898199</v>
      </c>
      <c r="N474">
        <v>1.33385641428011E-3</v>
      </c>
    </row>
    <row r="475" spans="1:14" x14ac:dyDescent="0.25">
      <c r="A475" t="s">
        <v>500</v>
      </c>
      <c r="B475">
        <v>1165</v>
      </c>
      <c r="C475">
        <v>51</v>
      </c>
      <c r="D475">
        <v>3</v>
      </c>
      <c r="E475" t="s">
        <v>28</v>
      </c>
      <c r="F475" t="s">
        <v>29</v>
      </c>
      <c r="G475" t="s">
        <v>36</v>
      </c>
      <c r="H475" s="1">
        <v>44279</v>
      </c>
      <c r="I475" t="s">
        <v>501</v>
      </c>
      <c r="J475" t="s">
        <v>18</v>
      </c>
      <c r="K475" t="s">
        <v>32</v>
      </c>
      <c r="L475" s="1">
        <v>44256</v>
      </c>
      <c r="M475">
        <v>4.3776824034334798E-2</v>
      </c>
      <c r="N475">
        <v>2.35386426049431E-4</v>
      </c>
    </row>
    <row r="476" spans="1:14" x14ac:dyDescent="0.25">
      <c r="A476" t="s">
        <v>502</v>
      </c>
      <c r="B476">
        <v>9386</v>
      </c>
      <c r="C476">
        <v>2555</v>
      </c>
      <c r="D476">
        <v>20</v>
      </c>
      <c r="E476" t="s">
        <v>28</v>
      </c>
      <c r="F476" t="s">
        <v>50</v>
      </c>
      <c r="G476" t="s">
        <v>42</v>
      </c>
      <c r="H476" s="1">
        <v>44062</v>
      </c>
      <c r="I476" t="s">
        <v>503</v>
      </c>
      <c r="J476" t="s">
        <v>38</v>
      </c>
      <c r="K476" t="s">
        <v>66</v>
      </c>
      <c r="L476" s="1">
        <v>44044</v>
      </c>
      <c r="M476">
        <v>0.272213935648839</v>
      </c>
      <c r="N476">
        <v>1.5692428403295401E-3</v>
      </c>
    </row>
    <row r="477" spans="1:14" x14ac:dyDescent="0.25">
      <c r="A477" t="s">
        <v>502</v>
      </c>
      <c r="B477">
        <v>9386</v>
      </c>
      <c r="C477">
        <v>2555</v>
      </c>
      <c r="D477">
        <v>20</v>
      </c>
      <c r="E477" t="s">
        <v>28</v>
      </c>
      <c r="F477" t="s">
        <v>50</v>
      </c>
      <c r="G477" t="s">
        <v>42</v>
      </c>
      <c r="H477" s="1">
        <v>44854</v>
      </c>
      <c r="I477" t="s">
        <v>504</v>
      </c>
      <c r="J477" t="s">
        <v>83</v>
      </c>
      <c r="K477" t="s">
        <v>98</v>
      </c>
      <c r="L477" s="1">
        <v>44835</v>
      </c>
      <c r="M477">
        <v>0.272213935648839</v>
      </c>
      <c r="N477">
        <v>1.5692428403295401E-3</v>
      </c>
    </row>
    <row r="478" spans="1:14" x14ac:dyDescent="0.25">
      <c r="A478" t="s">
        <v>505</v>
      </c>
      <c r="B478">
        <v>3956</v>
      </c>
      <c r="C478">
        <v>142</v>
      </c>
      <c r="D478">
        <v>12</v>
      </c>
      <c r="E478" t="s">
        <v>28</v>
      </c>
      <c r="F478" t="s">
        <v>29</v>
      </c>
      <c r="G478" t="s">
        <v>30</v>
      </c>
      <c r="H478" s="1">
        <v>45189</v>
      </c>
      <c r="I478" t="s">
        <v>506</v>
      </c>
      <c r="J478" t="s">
        <v>18</v>
      </c>
      <c r="K478" t="s">
        <v>122</v>
      </c>
      <c r="L478" s="1">
        <v>45170</v>
      </c>
      <c r="M478">
        <v>3.5894843276036398E-2</v>
      </c>
      <c r="N478">
        <v>9.4154570419772402E-4</v>
      </c>
    </row>
    <row r="479" spans="1:14" x14ac:dyDescent="0.25">
      <c r="A479" t="s">
        <v>505</v>
      </c>
      <c r="B479">
        <v>3956</v>
      </c>
      <c r="C479">
        <v>142</v>
      </c>
      <c r="D479">
        <v>12</v>
      </c>
      <c r="E479" t="s">
        <v>28</v>
      </c>
      <c r="F479" t="s">
        <v>29</v>
      </c>
      <c r="G479" t="s">
        <v>30</v>
      </c>
      <c r="H479" s="1">
        <v>45652</v>
      </c>
      <c r="I479" t="s">
        <v>507</v>
      </c>
      <c r="J479" t="s">
        <v>63</v>
      </c>
      <c r="K479" t="s">
        <v>64</v>
      </c>
      <c r="L479" s="1">
        <v>45627</v>
      </c>
      <c r="M479">
        <v>3.5894843276036398E-2</v>
      </c>
      <c r="N479">
        <v>9.4154570419772402E-4</v>
      </c>
    </row>
    <row r="480" spans="1:14" x14ac:dyDescent="0.25">
      <c r="A480" t="s">
        <v>505</v>
      </c>
      <c r="B480">
        <v>6449</v>
      </c>
      <c r="C480">
        <v>2628</v>
      </c>
      <c r="D480">
        <v>11</v>
      </c>
      <c r="E480" t="s">
        <v>40</v>
      </c>
      <c r="F480" t="s">
        <v>91</v>
      </c>
      <c r="G480" t="s">
        <v>36</v>
      </c>
      <c r="H480" s="1">
        <v>45189</v>
      </c>
      <c r="I480" t="s">
        <v>506</v>
      </c>
      <c r="J480" t="s">
        <v>18</v>
      </c>
      <c r="K480" t="s">
        <v>122</v>
      </c>
      <c r="L480" s="1">
        <v>45170</v>
      </c>
      <c r="M480">
        <v>0.40750503954101402</v>
      </c>
      <c r="N480">
        <v>8.6308356218124801E-4</v>
      </c>
    </row>
    <row r="481" spans="1:14" x14ac:dyDescent="0.25">
      <c r="A481" t="s">
        <v>505</v>
      </c>
      <c r="B481">
        <v>6449</v>
      </c>
      <c r="C481">
        <v>2628</v>
      </c>
      <c r="D481">
        <v>11</v>
      </c>
      <c r="E481" t="s">
        <v>40</v>
      </c>
      <c r="F481" t="s">
        <v>91</v>
      </c>
      <c r="G481" t="s">
        <v>36</v>
      </c>
      <c r="H481" s="1">
        <v>45652</v>
      </c>
      <c r="I481" t="s">
        <v>507</v>
      </c>
      <c r="J481" t="s">
        <v>63</v>
      </c>
      <c r="K481" t="s">
        <v>64</v>
      </c>
      <c r="L481" s="1">
        <v>45627</v>
      </c>
      <c r="M481">
        <v>0.40750503954101402</v>
      </c>
      <c r="N481">
        <v>8.6308356218124801E-4</v>
      </c>
    </row>
    <row r="482" spans="1:14" x14ac:dyDescent="0.25">
      <c r="A482" t="s">
        <v>508</v>
      </c>
      <c r="B482">
        <v>6255</v>
      </c>
      <c r="C482">
        <v>437</v>
      </c>
      <c r="D482">
        <v>18</v>
      </c>
      <c r="E482" t="s">
        <v>28</v>
      </c>
      <c r="F482" t="s">
        <v>50</v>
      </c>
      <c r="G482" t="s">
        <v>57</v>
      </c>
      <c r="H482" s="1">
        <v>44533</v>
      </c>
      <c r="I482" t="s">
        <v>509</v>
      </c>
      <c r="J482" t="s">
        <v>24</v>
      </c>
      <c r="K482" t="s">
        <v>60</v>
      </c>
      <c r="L482" s="1">
        <v>44531</v>
      </c>
      <c r="M482">
        <v>6.9864108713029602E-2</v>
      </c>
      <c r="N482">
        <v>1.41231855629659E-3</v>
      </c>
    </row>
    <row r="483" spans="1:14" x14ac:dyDescent="0.25">
      <c r="A483" t="s">
        <v>508</v>
      </c>
      <c r="B483">
        <v>2109</v>
      </c>
      <c r="C483">
        <v>681</v>
      </c>
      <c r="D483">
        <v>20</v>
      </c>
      <c r="E483" t="s">
        <v>14</v>
      </c>
      <c r="F483" t="s">
        <v>15</v>
      </c>
      <c r="G483" t="s">
        <v>16</v>
      </c>
      <c r="H483" s="1">
        <v>44533</v>
      </c>
      <c r="I483" t="s">
        <v>509</v>
      </c>
      <c r="J483" t="s">
        <v>24</v>
      </c>
      <c r="K483" t="s">
        <v>60</v>
      </c>
      <c r="L483" s="1">
        <v>44531</v>
      </c>
      <c r="M483">
        <v>0.32290184921763898</v>
      </c>
      <c r="N483">
        <v>1.5692428403295401E-3</v>
      </c>
    </row>
    <row r="484" spans="1:14" x14ac:dyDescent="0.25">
      <c r="A484" t="s">
        <v>510</v>
      </c>
      <c r="B484">
        <v>6707</v>
      </c>
      <c r="C484">
        <v>1041</v>
      </c>
      <c r="D484">
        <v>20</v>
      </c>
      <c r="E484" t="s">
        <v>14</v>
      </c>
      <c r="F484" t="s">
        <v>71</v>
      </c>
      <c r="G484" t="s">
        <v>42</v>
      </c>
      <c r="H484" s="1">
        <v>44453</v>
      </c>
      <c r="I484" t="s">
        <v>511</v>
      </c>
      <c r="J484" t="s">
        <v>63</v>
      </c>
      <c r="K484" t="s">
        <v>75</v>
      </c>
      <c r="L484" s="1">
        <v>44440</v>
      </c>
      <c r="M484">
        <v>0.15521097360966199</v>
      </c>
      <c r="N484">
        <v>1.5692428403295401E-3</v>
      </c>
    </row>
    <row r="485" spans="1:14" x14ac:dyDescent="0.25">
      <c r="A485" t="s">
        <v>512</v>
      </c>
      <c r="B485">
        <v>7633</v>
      </c>
      <c r="C485">
        <v>184</v>
      </c>
      <c r="D485">
        <v>13</v>
      </c>
      <c r="E485" t="s">
        <v>28</v>
      </c>
      <c r="F485" t="s">
        <v>29</v>
      </c>
      <c r="G485" t="s">
        <v>57</v>
      </c>
      <c r="H485" s="1">
        <v>44469</v>
      </c>
      <c r="I485" t="s">
        <v>513</v>
      </c>
      <c r="J485" t="s">
        <v>21</v>
      </c>
      <c r="K485" t="s">
        <v>55</v>
      </c>
      <c r="L485" s="1">
        <v>44440</v>
      </c>
      <c r="M485">
        <v>2.4105856150923598E-2</v>
      </c>
      <c r="N485">
        <v>1.0200078462141999E-3</v>
      </c>
    </row>
    <row r="486" spans="1:14" x14ac:dyDescent="0.25">
      <c r="A486" t="s">
        <v>514</v>
      </c>
      <c r="B486">
        <v>975</v>
      </c>
      <c r="C486">
        <v>224</v>
      </c>
      <c r="D486">
        <v>18</v>
      </c>
      <c r="E486" t="s">
        <v>28</v>
      </c>
      <c r="F486" t="s">
        <v>29</v>
      </c>
      <c r="G486" t="s">
        <v>57</v>
      </c>
      <c r="H486" s="1">
        <v>44552</v>
      </c>
      <c r="I486" t="s">
        <v>515</v>
      </c>
      <c r="J486" t="s">
        <v>38</v>
      </c>
      <c r="K486" t="s">
        <v>66</v>
      </c>
      <c r="L486" s="1">
        <v>44531</v>
      </c>
      <c r="M486">
        <v>0.22974358974358999</v>
      </c>
      <c r="N486">
        <v>1.41231855629659E-3</v>
      </c>
    </row>
    <row r="487" spans="1:14" x14ac:dyDescent="0.25">
      <c r="A487" t="s">
        <v>514</v>
      </c>
      <c r="B487">
        <v>4492</v>
      </c>
      <c r="C487">
        <v>1450</v>
      </c>
      <c r="D487">
        <v>7</v>
      </c>
      <c r="E487" t="s">
        <v>40</v>
      </c>
      <c r="F487" t="s">
        <v>41</v>
      </c>
      <c r="G487" t="s">
        <v>36</v>
      </c>
      <c r="H487" s="1">
        <v>44552</v>
      </c>
      <c r="I487" t="s">
        <v>515</v>
      </c>
      <c r="J487" t="s">
        <v>38</v>
      </c>
      <c r="K487" t="s">
        <v>66</v>
      </c>
      <c r="L487" s="1">
        <v>44531</v>
      </c>
      <c r="M487">
        <v>0.32279608192341902</v>
      </c>
      <c r="N487">
        <v>5.4923499411533899E-4</v>
      </c>
    </row>
    <row r="488" spans="1:14" x14ac:dyDescent="0.25">
      <c r="A488" t="s">
        <v>514</v>
      </c>
      <c r="B488">
        <v>7957</v>
      </c>
      <c r="C488">
        <v>2834</v>
      </c>
      <c r="D488">
        <v>12</v>
      </c>
      <c r="E488" t="s">
        <v>40</v>
      </c>
      <c r="F488" t="s">
        <v>44</v>
      </c>
      <c r="G488" t="s">
        <v>16</v>
      </c>
      <c r="H488" s="1">
        <v>44552</v>
      </c>
      <c r="I488" t="s">
        <v>515</v>
      </c>
      <c r="J488" t="s">
        <v>38</v>
      </c>
      <c r="K488" t="s">
        <v>66</v>
      </c>
      <c r="L488" s="1">
        <v>44531</v>
      </c>
      <c r="M488">
        <v>0.35616438356164398</v>
      </c>
      <c r="N488">
        <v>9.4154570419772402E-4</v>
      </c>
    </row>
    <row r="489" spans="1:14" x14ac:dyDescent="0.25">
      <c r="A489" t="s">
        <v>516</v>
      </c>
      <c r="B489">
        <v>4906</v>
      </c>
      <c r="C489">
        <v>975</v>
      </c>
      <c r="D489">
        <v>7</v>
      </c>
      <c r="E489" t="s">
        <v>40</v>
      </c>
      <c r="F489" t="s">
        <v>41</v>
      </c>
      <c r="G489" t="s">
        <v>30</v>
      </c>
      <c r="H489" s="1">
        <v>44699</v>
      </c>
      <c r="I489" t="s">
        <v>517</v>
      </c>
      <c r="J489" t="s">
        <v>63</v>
      </c>
      <c r="K489" t="s">
        <v>112</v>
      </c>
      <c r="L489" s="1">
        <v>44682</v>
      </c>
      <c r="M489">
        <v>0.19873624133713799</v>
      </c>
      <c r="N489">
        <v>5.4923499411533899E-4</v>
      </c>
    </row>
    <row r="490" spans="1:14" x14ac:dyDescent="0.25">
      <c r="A490" t="s">
        <v>518</v>
      </c>
      <c r="B490">
        <v>1379</v>
      </c>
      <c r="C490">
        <v>250</v>
      </c>
      <c r="D490">
        <v>3</v>
      </c>
      <c r="E490" t="s">
        <v>28</v>
      </c>
      <c r="F490" t="s">
        <v>29</v>
      </c>
      <c r="G490" t="s">
        <v>42</v>
      </c>
      <c r="H490" s="1">
        <v>44112</v>
      </c>
      <c r="I490" t="s">
        <v>519</v>
      </c>
      <c r="J490" t="s">
        <v>24</v>
      </c>
      <c r="K490" t="s">
        <v>25</v>
      </c>
      <c r="L490" s="1">
        <v>44105</v>
      </c>
      <c r="M490">
        <v>0.18129079042784599</v>
      </c>
      <c r="N490">
        <v>2.35386426049431E-4</v>
      </c>
    </row>
    <row r="491" spans="1:14" x14ac:dyDescent="0.25">
      <c r="A491" t="s">
        <v>518</v>
      </c>
      <c r="B491">
        <v>4244</v>
      </c>
      <c r="C491">
        <v>340</v>
      </c>
      <c r="D491">
        <v>10</v>
      </c>
      <c r="E491" t="s">
        <v>14</v>
      </c>
      <c r="F491" t="s">
        <v>35</v>
      </c>
      <c r="G491" t="s">
        <v>30</v>
      </c>
      <c r="H491" s="1">
        <v>44112</v>
      </c>
      <c r="I491" t="s">
        <v>519</v>
      </c>
      <c r="J491" t="s">
        <v>24</v>
      </c>
      <c r="K491" t="s">
        <v>25</v>
      </c>
      <c r="L491" s="1">
        <v>44105</v>
      </c>
      <c r="M491">
        <v>8.0113100848256402E-2</v>
      </c>
      <c r="N491">
        <v>7.8462142016477005E-4</v>
      </c>
    </row>
    <row r="492" spans="1:14" x14ac:dyDescent="0.25">
      <c r="A492" t="s">
        <v>520</v>
      </c>
      <c r="B492">
        <v>5911</v>
      </c>
      <c r="C492">
        <v>2333</v>
      </c>
      <c r="D492">
        <v>14</v>
      </c>
      <c r="E492" t="s">
        <v>40</v>
      </c>
      <c r="F492" t="s">
        <v>91</v>
      </c>
      <c r="G492" t="s">
        <v>36</v>
      </c>
      <c r="H492" s="1">
        <v>44793</v>
      </c>
      <c r="I492" t="s">
        <v>521</v>
      </c>
      <c r="J492" t="s">
        <v>38</v>
      </c>
      <c r="K492" t="s">
        <v>66</v>
      </c>
      <c r="L492" s="1">
        <v>44774</v>
      </c>
      <c r="M492">
        <v>0.39468787007274603</v>
      </c>
      <c r="N492">
        <v>1.0984699882306799E-3</v>
      </c>
    </row>
    <row r="493" spans="1:14" x14ac:dyDescent="0.25">
      <c r="A493" t="s">
        <v>520</v>
      </c>
      <c r="B493">
        <v>5911</v>
      </c>
      <c r="C493">
        <v>2333</v>
      </c>
      <c r="D493">
        <v>14</v>
      </c>
      <c r="E493" t="s">
        <v>40</v>
      </c>
      <c r="F493" t="s">
        <v>91</v>
      </c>
      <c r="G493" t="s">
        <v>36</v>
      </c>
      <c r="H493" s="1">
        <v>45621</v>
      </c>
      <c r="I493" t="s">
        <v>522</v>
      </c>
      <c r="J493" t="s">
        <v>38</v>
      </c>
      <c r="K493" t="s">
        <v>79</v>
      </c>
      <c r="L493" s="1">
        <v>45597</v>
      </c>
      <c r="M493">
        <v>0.39468787007274603</v>
      </c>
      <c r="N493">
        <v>1.0984699882306799E-3</v>
      </c>
    </row>
    <row r="494" spans="1:14" x14ac:dyDescent="0.25">
      <c r="A494" t="s">
        <v>520</v>
      </c>
      <c r="B494">
        <v>1818</v>
      </c>
      <c r="C494">
        <v>738</v>
      </c>
      <c r="D494">
        <v>11</v>
      </c>
      <c r="E494" t="s">
        <v>28</v>
      </c>
      <c r="F494" t="s">
        <v>50</v>
      </c>
      <c r="G494" t="s">
        <v>36</v>
      </c>
      <c r="H494" s="1">
        <v>44793</v>
      </c>
      <c r="I494" t="s">
        <v>521</v>
      </c>
      <c r="J494" t="s">
        <v>38</v>
      </c>
      <c r="K494" t="s">
        <v>66</v>
      </c>
      <c r="L494" s="1">
        <v>44774</v>
      </c>
      <c r="M494">
        <v>0.40594059405940602</v>
      </c>
      <c r="N494">
        <v>8.6308356218124801E-4</v>
      </c>
    </row>
    <row r="495" spans="1:14" x14ac:dyDescent="0.25">
      <c r="A495" t="s">
        <v>520</v>
      </c>
      <c r="B495">
        <v>1818</v>
      </c>
      <c r="C495">
        <v>738</v>
      </c>
      <c r="D495">
        <v>11</v>
      </c>
      <c r="E495" t="s">
        <v>28</v>
      </c>
      <c r="F495" t="s">
        <v>50</v>
      </c>
      <c r="G495" t="s">
        <v>36</v>
      </c>
      <c r="H495" s="1">
        <v>45621</v>
      </c>
      <c r="I495" t="s">
        <v>522</v>
      </c>
      <c r="J495" t="s">
        <v>38</v>
      </c>
      <c r="K495" t="s">
        <v>79</v>
      </c>
      <c r="L495" s="1">
        <v>45597</v>
      </c>
      <c r="M495">
        <v>0.40594059405940602</v>
      </c>
      <c r="N495">
        <v>8.6308356218124801E-4</v>
      </c>
    </row>
    <row r="496" spans="1:14" x14ac:dyDescent="0.25">
      <c r="A496" t="s">
        <v>523</v>
      </c>
      <c r="B496">
        <v>2140</v>
      </c>
      <c r="C496">
        <v>970</v>
      </c>
      <c r="D496">
        <v>4</v>
      </c>
      <c r="E496" t="s">
        <v>28</v>
      </c>
      <c r="F496" t="s">
        <v>56</v>
      </c>
      <c r="G496" t="s">
        <v>42</v>
      </c>
      <c r="H496" s="1">
        <v>44104</v>
      </c>
      <c r="I496" t="s">
        <v>524</v>
      </c>
      <c r="J496" t="s">
        <v>38</v>
      </c>
      <c r="K496" t="s">
        <v>66</v>
      </c>
      <c r="L496" s="1">
        <v>44075</v>
      </c>
      <c r="M496">
        <v>0.45327102803738301</v>
      </c>
      <c r="N496">
        <v>3.1384856806590799E-4</v>
      </c>
    </row>
    <row r="497" spans="1:14" x14ac:dyDescent="0.25">
      <c r="A497" t="s">
        <v>523</v>
      </c>
      <c r="B497">
        <v>2140</v>
      </c>
      <c r="C497">
        <v>970</v>
      </c>
      <c r="D497">
        <v>4</v>
      </c>
      <c r="E497" t="s">
        <v>28</v>
      </c>
      <c r="F497" t="s">
        <v>56</v>
      </c>
      <c r="G497" t="s">
        <v>42</v>
      </c>
      <c r="H497" s="1">
        <v>45708</v>
      </c>
      <c r="I497" t="s">
        <v>525</v>
      </c>
      <c r="J497" t="s">
        <v>18</v>
      </c>
      <c r="K497" t="s">
        <v>32</v>
      </c>
      <c r="L497" s="1">
        <v>45689</v>
      </c>
      <c r="M497">
        <v>0.45327102803738301</v>
      </c>
      <c r="N497">
        <v>3.1384856806590799E-4</v>
      </c>
    </row>
    <row r="498" spans="1:14" x14ac:dyDescent="0.25">
      <c r="A498" t="s">
        <v>523</v>
      </c>
      <c r="B498">
        <v>2140</v>
      </c>
      <c r="C498">
        <v>970</v>
      </c>
      <c r="D498">
        <v>4</v>
      </c>
      <c r="E498" t="s">
        <v>28</v>
      </c>
      <c r="F498" t="s">
        <v>56</v>
      </c>
      <c r="G498" t="s">
        <v>42</v>
      </c>
      <c r="H498" s="1">
        <v>44640</v>
      </c>
      <c r="I498" t="s">
        <v>526</v>
      </c>
      <c r="J498" t="s">
        <v>38</v>
      </c>
      <c r="K498" t="s">
        <v>79</v>
      </c>
      <c r="L498" s="1">
        <v>44621</v>
      </c>
      <c r="M498">
        <v>0.45327102803738301</v>
      </c>
      <c r="N498">
        <v>3.1384856806590799E-4</v>
      </c>
    </row>
    <row r="499" spans="1:14" x14ac:dyDescent="0.25">
      <c r="A499" t="s">
        <v>523</v>
      </c>
      <c r="B499">
        <v>2670</v>
      </c>
      <c r="C499">
        <v>1026</v>
      </c>
      <c r="D499">
        <v>1</v>
      </c>
      <c r="E499" t="s">
        <v>14</v>
      </c>
      <c r="F499" t="s">
        <v>35</v>
      </c>
      <c r="G499" t="s">
        <v>30</v>
      </c>
      <c r="H499" s="1">
        <v>44104</v>
      </c>
      <c r="I499" t="s">
        <v>524</v>
      </c>
      <c r="J499" t="s">
        <v>38</v>
      </c>
      <c r="K499" t="s">
        <v>66</v>
      </c>
      <c r="L499" s="1">
        <v>44075</v>
      </c>
      <c r="M499">
        <v>0.38426966292134801</v>
      </c>
      <c r="N499">
        <v>7.8462142016476997E-5</v>
      </c>
    </row>
    <row r="500" spans="1:14" x14ac:dyDescent="0.25">
      <c r="A500" t="s">
        <v>523</v>
      </c>
      <c r="B500">
        <v>2670</v>
      </c>
      <c r="C500">
        <v>1026</v>
      </c>
      <c r="D500">
        <v>1</v>
      </c>
      <c r="E500" t="s">
        <v>14</v>
      </c>
      <c r="F500" t="s">
        <v>35</v>
      </c>
      <c r="G500" t="s">
        <v>30</v>
      </c>
      <c r="H500" s="1">
        <v>45708</v>
      </c>
      <c r="I500" t="s">
        <v>525</v>
      </c>
      <c r="J500" t="s">
        <v>18</v>
      </c>
      <c r="K500" t="s">
        <v>32</v>
      </c>
      <c r="L500" s="1">
        <v>45689</v>
      </c>
      <c r="M500">
        <v>0.38426966292134801</v>
      </c>
      <c r="N500">
        <v>7.8462142016476997E-5</v>
      </c>
    </row>
    <row r="501" spans="1:14" x14ac:dyDescent="0.25">
      <c r="A501" t="s">
        <v>523</v>
      </c>
      <c r="B501">
        <v>2670</v>
      </c>
      <c r="C501">
        <v>1026</v>
      </c>
      <c r="D501">
        <v>1</v>
      </c>
      <c r="E501" t="s">
        <v>14</v>
      </c>
      <c r="F501" t="s">
        <v>35</v>
      </c>
      <c r="G501" t="s">
        <v>30</v>
      </c>
      <c r="H501" s="1">
        <v>44640</v>
      </c>
      <c r="I501" t="s">
        <v>526</v>
      </c>
      <c r="J501" t="s">
        <v>38</v>
      </c>
      <c r="K501" t="s">
        <v>79</v>
      </c>
      <c r="L501" s="1">
        <v>44621</v>
      </c>
      <c r="M501">
        <v>0.38426966292134801</v>
      </c>
      <c r="N501">
        <v>7.8462142016476997E-5</v>
      </c>
    </row>
    <row r="502" spans="1:14" x14ac:dyDescent="0.25">
      <c r="A502" t="s">
        <v>527</v>
      </c>
      <c r="B502">
        <v>1108</v>
      </c>
      <c r="C502">
        <v>167</v>
      </c>
      <c r="D502">
        <v>18</v>
      </c>
      <c r="E502" t="s">
        <v>14</v>
      </c>
      <c r="F502" t="s">
        <v>35</v>
      </c>
      <c r="G502" t="s">
        <v>30</v>
      </c>
      <c r="H502" s="1">
        <v>45723</v>
      </c>
      <c r="I502" t="s">
        <v>528</v>
      </c>
      <c r="J502" t="s">
        <v>21</v>
      </c>
      <c r="K502" t="s">
        <v>55</v>
      </c>
      <c r="L502" s="1">
        <v>45717</v>
      </c>
      <c r="M502">
        <v>0.15072202166064999</v>
      </c>
      <c r="N502">
        <v>1.41231855629659E-3</v>
      </c>
    </row>
    <row r="503" spans="1:14" x14ac:dyDescent="0.25">
      <c r="A503" t="s">
        <v>527</v>
      </c>
      <c r="B503">
        <v>9776</v>
      </c>
      <c r="C503">
        <v>3750</v>
      </c>
      <c r="D503">
        <v>9</v>
      </c>
      <c r="E503" t="s">
        <v>28</v>
      </c>
      <c r="F503" t="s">
        <v>68</v>
      </c>
      <c r="G503" t="s">
        <v>16</v>
      </c>
      <c r="H503" s="1">
        <v>45723</v>
      </c>
      <c r="I503" t="s">
        <v>528</v>
      </c>
      <c r="J503" t="s">
        <v>21</v>
      </c>
      <c r="K503" t="s">
        <v>55</v>
      </c>
      <c r="L503" s="1">
        <v>45717</v>
      </c>
      <c r="M503">
        <v>0.383592471358429</v>
      </c>
      <c r="N503">
        <v>7.0615927814829404E-4</v>
      </c>
    </row>
    <row r="504" spans="1:14" x14ac:dyDescent="0.25">
      <c r="A504" t="s">
        <v>527</v>
      </c>
      <c r="B504">
        <v>535</v>
      </c>
      <c r="C504">
        <v>72</v>
      </c>
      <c r="D504">
        <v>6</v>
      </c>
      <c r="E504" t="s">
        <v>40</v>
      </c>
      <c r="F504" t="s">
        <v>91</v>
      </c>
      <c r="G504" t="s">
        <v>57</v>
      </c>
      <c r="H504" s="1">
        <v>45723</v>
      </c>
      <c r="I504" t="s">
        <v>528</v>
      </c>
      <c r="J504" t="s">
        <v>21</v>
      </c>
      <c r="K504" t="s">
        <v>55</v>
      </c>
      <c r="L504" s="1">
        <v>45717</v>
      </c>
      <c r="M504">
        <v>0.13457943925233601</v>
      </c>
      <c r="N504">
        <v>4.7077285209886201E-4</v>
      </c>
    </row>
    <row r="505" spans="1:14" x14ac:dyDescent="0.25">
      <c r="A505" t="s">
        <v>529</v>
      </c>
      <c r="B505">
        <v>7564</v>
      </c>
      <c r="C505">
        <v>3463</v>
      </c>
      <c r="D505">
        <v>5</v>
      </c>
      <c r="E505" t="s">
        <v>28</v>
      </c>
      <c r="F505" t="s">
        <v>56</v>
      </c>
      <c r="G505" t="s">
        <v>42</v>
      </c>
      <c r="H505" s="1">
        <v>45459</v>
      </c>
      <c r="I505" t="s">
        <v>530</v>
      </c>
      <c r="J505" t="s">
        <v>18</v>
      </c>
      <c r="K505" t="s">
        <v>122</v>
      </c>
      <c r="L505" s="1">
        <v>45444</v>
      </c>
      <c r="M505">
        <v>0.457826546800635</v>
      </c>
      <c r="N505">
        <v>3.9231071008238503E-4</v>
      </c>
    </row>
    <row r="506" spans="1:14" x14ac:dyDescent="0.25">
      <c r="A506" t="s">
        <v>529</v>
      </c>
      <c r="B506">
        <v>7564</v>
      </c>
      <c r="C506">
        <v>3463</v>
      </c>
      <c r="D506">
        <v>5</v>
      </c>
      <c r="E506" t="s">
        <v>28</v>
      </c>
      <c r="F506" t="s">
        <v>56</v>
      </c>
      <c r="G506" t="s">
        <v>42</v>
      </c>
      <c r="H506" s="1">
        <v>44156</v>
      </c>
      <c r="I506" t="s">
        <v>531</v>
      </c>
      <c r="J506" t="s">
        <v>21</v>
      </c>
      <c r="K506" t="s">
        <v>138</v>
      </c>
      <c r="L506" s="1">
        <v>44136</v>
      </c>
      <c r="M506">
        <v>0.457826546800635</v>
      </c>
      <c r="N506">
        <v>3.9231071008238503E-4</v>
      </c>
    </row>
    <row r="507" spans="1:14" x14ac:dyDescent="0.25">
      <c r="A507" t="s">
        <v>529</v>
      </c>
      <c r="B507">
        <v>7564</v>
      </c>
      <c r="C507">
        <v>3463</v>
      </c>
      <c r="D507">
        <v>5</v>
      </c>
      <c r="E507" t="s">
        <v>28</v>
      </c>
      <c r="F507" t="s">
        <v>56</v>
      </c>
      <c r="G507" t="s">
        <v>42</v>
      </c>
      <c r="H507" s="1">
        <v>45566</v>
      </c>
      <c r="I507" t="s">
        <v>532</v>
      </c>
      <c r="J507" t="s">
        <v>18</v>
      </c>
      <c r="K507" t="s">
        <v>19</v>
      </c>
      <c r="L507" s="1">
        <v>45566</v>
      </c>
      <c r="M507">
        <v>0.457826546800635</v>
      </c>
      <c r="N507">
        <v>3.9231071008238503E-4</v>
      </c>
    </row>
    <row r="508" spans="1:14" x14ac:dyDescent="0.25">
      <c r="A508" t="s">
        <v>529</v>
      </c>
      <c r="B508">
        <v>7564</v>
      </c>
      <c r="C508">
        <v>3463</v>
      </c>
      <c r="D508">
        <v>5</v>
      </c>
      <c r="E508" t="s">
        <v>28</v>
      </c>
      <c r="F508" t="s">
        <v>56</v>
      </c>
      <c r="G508" t="s">
        <v>42</v>
      </c>
      <c r="H508" s="1">
        <v>45474</v>
      </c>
      <c r="I508" t="s">
        <v>533</v>
      </c>
      <c r="J508" t="s">
        <v>63</v>
      </c>
      <c r="K508" t="s">
        <v>112</v>
      </c>
      <c r="L508" s="1">
        <v>45474</v>
      </c>
      <c r="M508">
        <v>0.457826546800635</v>
      </c>
      <c r="N508">
        <v>3.9231071008238503E-4</v>
      </c>
    </row>
    <row r="509" spans="1:14" x14ac:dyDescent="0.25">
      <c r="A509" t="s">
        <v>529</v>
      </c>
      <c r="B509">
        <v>3409</v>
      </c>
      <c r="C509">
        <v>1605</v>
      </c>
      <c r="D509">
        <v>20</v>
      </c>
      <c r="E509" t="s">
        <v>14</v>
      </c>
      <c r="F509" t="s">
        <v>15</v>
      </c>
      <c r="G509" t="s">
        <v>16</v>
      </c>
      <c r="H509" s="1">
        <v>45459</v>
      </c>
      <c r="I509" t="s">
        <v>530</v>
      </c>
      <c r="J509" t="s">
        <v>18</v>
      </c>
      <c r="K509" t="s">
        <v>122</v>
      </c>
      <c r="L509" s="1">
        <v>45444</v>
      </c>
      <c r="M509">
        <v>0.47081255500146701</v>
      </c>
      <c r="N509">
        <v>1.5692428403295401E-3</v>
      </c>
    </row>
    <row r="510" spans="1:14" x14ac:dyDescent="0.25">
      <c r="A510" t="s">
        <v>529</v>
      </c>
      <c r="B510">
        <v>3409</v>
      </c>
      <c r="C510">
        <v>1605</v>
      </c>
      <c r="D510">
        <v>20</v>
      </c>
      <c r="E510" t="s">
        <v>14</v>
      </c>
      <c r="F510" t="s">
        <v>15</v>
      </c>
      <c r="G510" t="s">
        <v>16</v>
      </c>
      <c r="H510" s="1">
        <v>44156</v>
      </c>
      <c r="I510" t="s">
        <v>531</v>
      </c>
      <c r="J510" t="s">
        <v>21</v>
      </c>
      <c r="K510" t="s">
        <v>138</v>
      </c>
      <c r="L510" s="1">
        <v>44136</v>
      </c>
      <c r="M510">
        <v>0.47081255500146701</v>
      </c>
      <c r="N510">
        <v>1.5692428403295401E-3</v>
      </c>
    </row>
    <row r="511" spans="1:14" x14ac:dyDescent="0.25">
      <c r="A511" t="s">
        <v>529</v>
      </c>
      <c r="B511">
        <v>3409</v>
      </c>
      <c r="C511">
        <v>1605</v>
      </c>
      <c r="D511">
        <v>20</v>
      </c>
      <c r="E511" t="s">
        <v>14</v>
      </c>
      <c r="F511" t="s">
        <v>15</v>
      </c>
      <c r="G511" t="s">
        <v>16</v>
      </c>
      <c r="H511" s="1">
        <v>45566</v>
      </c>
      <c r="I511" t="s">
        <v>532</v>
      </c>
      <c r="J511" t="s">
        <v>18</v>
      </c>
      <c r="K511" t="s">
        <v>19</v>
      </c>
      <c r="L511" s="1">
        <v>45566</v>
      </c>
      <c r="M511">
        <v>0.47081255500146701</v>
      </c>
      <c r="N511">
        <v>1.5692428403295401E-3</v>
      </c>
    </row>
    <row r="512" spans="1:14" x14ac:dyDescent="0.25">
      <c r="A512" t="s">
        <v>529</v>
      </c>
      <c r="B512">
        <v>3409</v>
      </c>
      <c r="C512">
        <v>1605</v>
      </c>
      <c r="D512">
        <v>20</v>
      </c>
      <c r="E512" t="s">
        <v>14</v>
      </c>
      <c r="F512" t="s">
        <v>15</v>
      </c>
      <c r="G512" t="s">
        <v>16</v>
      </c>
      <c r="H512" s="1">
        <v>45474</v>
      </c>
      <c r="I512" t="s">
        <v>533</v>
      </c>
      <c r="J512" t="s">
        <v>63</v>
      </c>
      <c r="K512" t="s">
        <v>112</v>
      </c>
      <c r="L512" s="1">
        <v>45474</v>
      </c>
      <c r="M512">
        <v>0.47081255500146701</v>
      </c>
      <c r="N512">
        <v>1.5692428403295401E-3</v>
      </c>
    </row>
    <row r="513" spans="1:14" x14ac:dyDescent="0.25">
      <c r="A513" t="s">
        <v>534</v>
      </c>
      <c r="B513">
        <v>9751</v>
      </c>
      <c r="C513">
        <v>2459</v>
      </c>
      <c r="D513">
        <v>13</v>
      </c>
      <c r="E513" t="s">
        <v>28</v>
      </c>
      <c r="F513" t="s">
        <v>29</v>
      </c>
      <c r="G513" t="s">
        <v>57</v>
      </c>
      <c r="H513" s="1">
        <v>44158</v>
      </c>
      <c r="I513" t="s">
        <v>535</v>
      </c>
      <c r="J513" t="s">
        <v>24</v>
      </c>
      <c r="K513" t="s">
        <v>25</v>
      </c>
      <c r="L513" s="1">
        <v>44136</v>
      </c>
      <c r="M513">
        <v>0.252179263665265</v>
      </c>
      <c r="N513">
        <v>1.0200078462141999E-3</v>
      </c>
    </row>
    <row r="514" spans="1:14" x14ac:dyDescent="0.25">
      <c r="A514" t="s">
        <v>536</v>
      </c>
      <c r="B514">
        <v>6385</v>
      </c>
      <c r="C514">
        <v>2656</v>
      </c>
      <c r="D514">
        <v>11</v>
      </c>
      <c r="E514" t="s">
        <v>14</v>
      </c>
      <c r="F514" t="s">
        <v>26</v>
      </c>
      <c r="G514" t="s">
        <v>42</v>
      </c>
      <c r="H514" s="1">
        <v>45003</v>
      </c>
      <c r="I514" t="s">
        <v>537</v>
      </c>
      <c r="J514" t="s">
        <v>18</v>
      </c>
      <c r="K514" t="s">
        <v>32</v>
      </c>
      <c r="L514" s="1">
        <v>44986</v>
      </c>
      <c r="M514">
        <v>0.41597494126859802</v>
      </c>
      <c r="N514">
        <v>8.6308356218124801E-4</v>
      </c>
    </row>
    <row r="515" spans="1:14" x14ac:dyDescent="0.25">
      <c r="A515" t="s">
        <v>536</v>
      </c>
      <c r="B515">
        <v>6385</v>
      </c>
      <c r="C515">
        <v>2656</v>
      </c>
      <c r="D515">
        <v>11</v>
      </c>
      <c r="E515" t="s">
        <v>14</v>
      </c>
      <c r="F515" t="s">
        <v>26</v>
      </c>
      <c r="G515" t="s">
        <v>42</v>
      </c>
      <c r="H515" s="1">
        <v>44853</v>
      </c>
      <c r="I515" t="s">
        <v>538</v>
      </c>
      <c r="J515" t="s">
        <v>18</v>
      </c>
      <c r="K515" t="s">
        <v>122</v>
      </c>
      <c r="L515" s="1">
        <v>44835</v>
      </c>
      <c r="M515">
        <v>0.41597494126859802</v>
      </c>
      <c r="N515">
        <v>8.6308356218124801E-4</v>
      </c>
    </row>
    <row r="516" spans="1:14" x14ac:dyDescent="0.25">
      <c r="A516" t="s">
        <v>539</v>
      </c>
      <c r="B516">
        <v>6355</v>
      </c>
      <c r="C516">
        <v>1335</v>
      </c>
      <c r="D516">
        <v>15</v>
      </c>
      <c r="E516" t="s">
        <v>14</v>
      </c>
      <c r="F516" t="s">
        <v>15</v>
      </c>
      <c r="G516" t="s">
        <v>30</v>
      </c>
      <c r="H516" s="1">
        <v>45169</v>
      </c>
      <c r="I516" t="s">
        <v>540</v>
      </c>
      <c r="J516" t="s">
        <v>63</v>
      </c>
      <c r="K516" t="s">
        <v>75</v>
      </c>
      <c r="L516" s="1">
        <v>45139</v>
      </c>
      <c r="M516">
        <v>0.210070810385523</v>
      </c>
      <c r="N516">
        <v>1.17693213024716E-3</v>
      </c>
    </row>
    <row r="517" spans="1:14" x14ac:dyDescent="0.25">
      <c r="A517" t="s">
        <v>539</v>
      </c>
      <c r="B517">
        <v>6355</v>
      </c>
      <c r="C517">
        <v>1335</v>
      </c>
      <c r="D517">
        <v>15</v>
      </c>
      <c r="E517" t="s">
        <v>14</v>
      </c>
      <c r="F517" t="s">
        <v>15</v>
      </c>
      <c r="G517" t="s">
        <v>30</v>
      </c>
      <c r="H517" s="1">
        <v>44353</v>
      </c>
      <c r="I517" t="s">
        <v>541</v>
      </c>
      <c r="J517" t="s">
        <v>63</v>
      </c>
      <c r="K517" t="s">
        <v>75</v>
      </c>
      <c r="L517" s="1">
        <v>44348</v>
      </c>
      <c r="M517">
        <v>0.210070810385523</v>
      </c>
      <c r="N517">
        <v>1.17693213024716E-3</v>
      </c>
    </row>
    <row r="518" spans="1:14" x14ac:dyDescent="0.25">
      <c r="A518" t="s">
        <v>542</v>
      </c>
      <c r="B518">
        <v>7377</v>
      </c>
      <c r="C518">
        <v>320</v>
      </c>
      <c r="D518">
        <v>15</v>
      </c>
      <c r="E518" t="s">
        <v>14</v>
      </c>
      <c r="F518" t="s">
        <v>26</v>
      </c>
      <c r="G518" t="s">
        <v>30</v>
      </c>
      <c r="H518" s="1">
        <v>44916</v>
      </c>
      <c r="I518" t="s">
        <v>543</v>
      </c>
      <c r="J518" t="s">
        <v>63</v>
      </c>
      <c r="K518" t="s">
        <v>75</v>
      </c>
      <c r="L518" s="1">
        <v>44896</v>
      </c>
      <c r="M518">
        <v>4.3378066964890903E-2</v>
      </c>
      <c r="N518">
        <v>1.17693213024716E-3</v>
      </c>
    </row>
    <row r="519" spans="1:14" x14ac:dyDescent="0.25">
      <c r="A519" t="s">
        <v>542</v>
      </c>
      <c r="B519">
        <v>2054</v>
      </c>
      <c r="C519">
        <v>371</v>
      </c>
      <c r="D519">
        <v>12</v>
      </c>
      <c r="E519" t="s">
        <v>28</v>
      </c>
      <c r="F519" t="s">
        <v>50</v>
      </c>
      <c r="G519" t="s">
        <v>36</v>
      </c>
      <c r="H519" s="1">
        <v>44916</v>
      </c>
      <c r="I519" t="s">
        <v>543</v>
      </c>
      <c r="J519" t="s">
        <v>63</v>
      </c>
      <c r="K519" t="s">
        <v>75</v>
      </c>
      <c r="L519" s="1">
        <v>44896</v>
      </c>
      <c r="M519">
        <v>0.18062317429406</v>
      </c>
      <c r="N519">
        <v>9.4154570419772402E-4</v>
      </c>
    </row>
    <row r="520" spans="1:14" x14ac:dyDescent="0.25">
      <c r="A520" t="s">
        <v>544</v>
      </c>
      <c r="B520">
        <v>7497</v>
      </c>
      <c r="C520">
        <v>319</v>
      </c>
      <c r="D520">
        <v>18</v>
      </c>
      <c r="E520" t="s">
        <v>40</v>
      </c>
      <c r="F520" t="s">
        <v>44</v>
      </c>
      <c r="G520" t="s">
        <v>57</v>
      </c>
      <c r="H520" s="1">
        <v>45334</v>
      </c>
      <c r="I520" t="s">
        <v>545</v>
      </c>
      <c r="J520" t="s">
        <v>21</v>
      </c>
      <c r="K520" t="s">
        <v>138</v>
      </c>
      <c r="L520" s="1">
        <v>45323</v>
      </c>
      <c r="M520">
        <v>4.2550353474723197E-2</v>
      </c>
      <c r="N520">
        <v>1.41231855629659E-3</v>
      </c>
    </row>
    <row r="521" spans="1:14" x14ac:dyDescent="0.25">
      <c r="A521" t="s">
        <v>546</v>
      </c>
      <c r="B521">
        <v>2565</v>
      </c>
      <c r="C521">
        <v>983</v>
      </c>
      <c r="D521">
        <v>20</v>
      </c>
      <c r="E521" t="s">
        <v>14</v>
      </c>
      <c r="F521" t="s">
        <v>15</v>
      </c>
      <c r="G521" t="s">
        <v>30</v>
      </c>
      <c r="H521" s="1">
        <v>44900</v>
      </c>
      <c r="I521" t="s">
        <v>547</v>
      </c>
      <c r="J521" t="s">
        <v>18</v>
      </c>
      <c r="K521" t="s">
        <v>19</v>
      </c>
      <c r="L521" s="1">
        <v>44896</v>
      </c>
      <c r="M521">
        <v>0.38323586744639399</v>
      </c>
      <c r="N521">
        <v>1.5692428403295401E-3</v>
      </c>
    </row>
    <row r="522" spans="1:14" x14ac:dyDescent="0.25">
      <c r="A522" t="s">
        <v>546</v>
      </c>
      <c r="B522">
        <v>5024</v>
      </c>
      <c r="C522">
        <v>1544</v>
      </c>
      <c r="D522">
        <v>19</v>
      </c>
      <c r="E522" t="s">
        <v>28</v>
      </c>
      <c r="F522" t="s">
        <v>29</v>
      </c>
      <c r="G522" t="s">
        <v>57</v>
      </c>
      <c r="H522" s="1">
        <v>44900</v>
      </c>
      <c r="I522" t="s">
        <v>547</v>
      </c>
      <c r="J522" t="s">
        <v>18</v>
      </c>
      <c r="K522" t="s">
        <v>19</v>
      </c>
      <c r="L522" s="1">
        <v>44896</v>
      </c>
      <c r="M522">
        <v>0.30732484076433098</v>
      </c>
      <c r="N522">
        <v>1.4907806983130601E-3</v>
      </c>
    </row>
    <row r="523" spans="1:14" x14ac:dyDescent="0.25">
      <c r="A523" t="s">
        <v>548</v>
      </c>
      <c r="B523">
        <v>8243</v>
      </c>
      <c r="C523">
        <v>1346</v>
      </c>
      <c r="D523">
        <v>15</v>
      </c>
      <c r="E523" t="s">
        <v>28</v>
      </c>
      <c r="F523" t="s">
        <v>68</v>
      </c>
      <c r="G523" t="s">
        <v>30</v>
      </c>
      <c r="H523" s="1">
        <v>44290</v>
      </c>
      <c r="I523" t="s">
        <v>549</v>
      </c>
      <c r="J523" t="s">
        <v>63</v>
      </c>
      <c r="K523" t="s">
        <v>112</v>
      </c>
      <c r="L523" s="1">
        <v>44287</v>
      </c>
      <c r="M523">
        <v>0.16329006429697901</v>
      </c>
      <c r="N523">
        <v>1.17693213024716E-3</v>
      </c>
    </row>
    <row r="524" spans="1:14" x14ac:dyDescent="0.25">
      <c r="A524" t="s">
        <v>550</v>
      </c>
      <c r="B524">
        <v>7792</v>
      </c>
      <c r="C524">
        <v>1403</v>
      </c>
      <c r="D524">
        <v>13</v>
      </c>
      <c r="E524" t="s">
        <v>28</v>
      </c>
      <c r="F524" t="s">
        <v>56</v>
      </c>
      <c r="G524" t="s">
        <v>16</v>
      </c>
      <c r="H524" s="1">
        <v>44239</v>
      </c>
      <c r="I524" t="s">
        <v>551</v>
      </c>
      <c r="J524" t="s">
        <v>21</v>
      </c>
      <c r="K524" t="s">
        <v>138</v>
      </c>
      <c r="L524" s="1">
        <v>44228</v>
      </c>
      <c r="M524">
        <v>0.180056468172485</v>
      </c>
      <c r="N524">
        <v>1.0200078462141999E-3</v>
      </c>
    </row>
    <row r="525" spans="1:14" x14ac:dyDescent="0.25">
      <c r="A525" t="s">
        <v>550</v>
      </c>
      <c r="B525">
        <v>7792</v>
      </c>
      <c r="C525">
        <v>1403</v>
      </c>
      <c r="D525">
        <v>13</v>
      </c>
      <c r="E525" t="s">
        <v>28</v>
      </c>
      <c r="F525" t="s">
        <v>56</v>
      </c>
      <c r="G525" t="s">
        <v>16</v>
      </c>
      <c r="H525" s="1">
        <v>44922</v>
      </c>
      <c r="I525" t="s">
        <v>552</v>
      </c>
      <c r="J525" t="s">
        <v>24</v>
      </c>
      <c r="K525" t="s">
        <v>60</v>
      </c>
      <c r="L525" s="1">
        <v>44896</v>
      </c>
      <c r="M525">
        <v>0.180056468172485</v>
      </c>
      <c r="N525">
        <v>1.0200078462141999E-3</v>
      </c>
    </row>
    <row r="526" spans="1:14" x14ac:dyDescent="0.25">
      <c r="A526" t="s">
        <v>550</v>
      </c>
      <c r="B526">
        <v>7792</v>
      </c>
      <c r="C526">
        <v>1403</v>
      </c>
      <c r="D526">
        <v>13</v>
      </c>
      <c r="E526" t="s">
        <v>28</v>
      </c>
      <c r="F526" t="s">
        <v>56</v>
      </c>
      <c r="G526" t="s">
        <v>16</v>
      </c>
      <c r="H526" s="1">
        <v>45310</v>
      </c>
      <c r="I526" t="s">
        <v>553</v>
      </c>
      <c r="J526" t="s">
        <v>38</v>
      </c>
      <c r="K526" t="s">
        <v>66</v>
      </c>
      <c r="L526" s="1">
        <v>45292</v>
      </c>
      <c r="M526">
        <v>0.180056468172485</v>
      </c>
      <c r="N526">
        <v>1.0200078462141999E-3</v>
      </c>
    </row>
    <row r="527" spans="1:14" x14ac:dyDescent="0.25">
      <c r="A527" t="s">
        <v>550</v>
      </c>
      <c r="B527">
        <v>2346</v>
      </c>
      <c r="C527">
        <v>388</v>
      </c>
      <c r="D527">
        <v>14</v>
      </c>
      <c r="E527" t="s">
        <v>40</v>
      </c>
      <c r="F527" t="s">
        <v>44</v>
      </c>
      <c r="G527" t="s">
        <v>30</v>
      </c>
      <c r="H527" s="1">
        <v>44239</v>
      </c>
      <c r="I527" t="s">
        <v>551</v>
      </c>
      <c r="J527" t="s">
        <v>21</v>
      </c>
      <c r="K527" t="s">
        <v>138</v>
      </c>
      <c r="L527" s="1">
        <v>44228</v>
      </c>
      <c r="M527">
        <v>0.16538789428815001</v>
      </c>
      <c r="N527">
        <v>1.0984699882306799E-3</v>
      </c>
    </row>
    <row r="528" spans="1:14" x14ac:dyDescent="0.25">
      <c r="A528" t="s">
        <v>550</v>
      </c>
      <c r="B528">
        <v>2346</v>
      </c>
      <c r="C528">
        <v>388</v>
      </c>
      <c r="D528">
        <v>14</v>
      </c>
      <c r="E528" t="s">
        <v>40</v>
      </c>
      <c r="F528" t="s">
        <v>44</v>
      </c>
      <c r="G528" t="s">
        <v>30</v>
      </c>
      <c r="H528" s="1">
        <v>44922</v>
      </c>
      <c r="I528" t="s">
        <v>552</v>
      </c>
      <c r="J528" t="s">
        <v>24</v>
      </c>
      <c r="K528" t="s">
        <v>60</v>
      </c>
      <c r="L528" s="1">
        <v>44896</v>
      </c>
      <c r="M528">
        <v>0.16538789428815001</v>
      </c>
      <c r="N528">
        <v>1.0984699882306799E-3</v>
      </c>
    </row>
    <row r="529" spans="1:14" x14ac:dyDescent="0.25">
      <c r="A529" t="s">
        <v>550</v>
      </c>
      <c r="B529">
        <v>2346</v>
      </c>
      <c r="C529">
        <v>388</v>
      </c>
      <c r="D529">
        <v>14</v>
      </c>
      <c r="E529" t="s">
        <v>40</v>
      </c>
      <c r="F529" t="s">
        <v>44</v>
      </c>
      <c r="G529" t="s">
        <v>30</v>
      </c>
      <c r="H529" s="1">
        <v>45310</v>
      </c>
      <c r="I529" t="s">
        <v>553</v>
      </c>
      <c r="J529" t="s">
        <v>38</v>
      </c>
      <c r="K529" t="s">
        <v>66</v>
      </c>
      <c r="L529" s="1">
        <v>45292</v>
      </c>
      <c r="M529">
        <v>0.16538789428815001</v>
      </c>
      <c r="N529">
        <v>1.0984699882306799E-3</v>
      </c>
    </row>
    <row r="530" spans="1:14" x14ac:dyDescent="0.25">
      <c r="A530" t="s">
        <v>554</v>
      </c>
      <c r="B530">
        <v>7346</v>
      </c>
      <c r="C530">
        <v>1043</v>
      </c>
      <c r="D530">
        <v>10</v>
      </c>
      <c r="E530" t="s">
        <v>40</v>
      </c>
      <c r="F530" t="s">
        <v>52</v>
      </c>
      <c r="G530" t="s">
        <v>42</v>
      </c>
      <c r="H530" s="1">
        <v>44920</v>
      </c>
      <c r="I530" t="s">
        <v>555</v>
      </c>
      <c r="J530" t="s">
        <v>83</v>
      </c>
      <c r="K530" t="s">
        <v>84</v>
      </c>
      <c r="L530" s="1">
        <v>44896</v>
      </c>
      <c r="M530">
        <v>0.14198203103729901</v>
      </c>
      <c r="N530">
        <v>7.8462142016477005E-4</v>
      </c>
    </row>
    <row r="531" spans="1:14" x14ac:dyDescent="0.25">
      <c r="A531" t="s">
        <v>554</v>
      </c>
      <c r="B531">
        <v>9770</v>
      </c>
      <c r="C531">
        <v>4132</v>
      </c>
      <c r="D531">
        <v>7</v>
      </c>
      <c r="E531" t="s">
        <v>14</v>
      </c>
      <c r="F531" t="s">
        <v>15</v>
      </c>
      <c r="G531" t="s">
        <v>16</v>
      </c>
      <c r="H531" s="1">
        <v>44920</v>
      </c>
      <c r="I531" t="s">
        <v>555</v>
      </c>
      <c r="J531" t="s">
        <v>83</v>
      </c>
      <c r="K531" t="s">
        <v>84</v>
      </c>
      <c r="L531" s="1">
        <v>44896</v>
      </c>
      <c r="M531">
        <v>0.42292732855680698</v>
      </c>
      <c r="N531">
        <v>5.4923499411533899E-4</v>
      </c>
    </row>
    <row r="532" spans="1:14" x14ac:dyDescent="0.25">
      <c r="A532" t="s">
        <v>554</v>
      </c>
      <c r="B532">
        <v>7179</v>
      </c>
      <c r="C532">
        <v>683</v>
      </c>
      <c r="D532">
        <v>13</v>
      </c>
      <c r="E532" t="s">
        <v>14</v>
      </c>
      <c r="F532" t="s">
        <v>35</v>
      </c>
      <c r="G532" t="s">
        <v>42</v>
      </c>
      <c r="H532" s="1">
        <v>44920</v>
      </c>
      <c r="I532" t="s">
        <v>555</v>
      </c>
      <c r="J532" t="s">
        <v>83</v>
      </c>
      <c r="K532" t="s">
        <v>84</v>
      </c>
      <c r="L532" s="1">
        <v>44896</v>
      </c>
      <c r="M532">
        <v>9.5138598690625395E-2</v>
      </c>
      <c r="N532">
        <v>1.0200078462141999E-3</v>
      </c>
    </row>
    <row r="533" spans="1:14" x14ac:dyDescent="0.25">
      <c r="A533" t="s">
        <v>556</v>
      </c>
      <c r="B533">
        <v>5449</v>
      </c>
      <c r="C533">
        <v>2389</v>
      </c>
      <c r="D533">
        <v>2</v>
      </c>
      <c r="E533" t="s">
        <v>14</v>
      </c>
      <c r="F533" t="s">
        <v>71</v>
      </c>
      <c r="G533" t="s">
        <v>16</v>
      </c>
      <c r="H533" s="1">
        <v>44840</v>
      </c>
      <c r="I533" t="s">
        <v>557</v>
      </c>
      <c r="J533" t="s">
        <v>18</v>
      </c>
      <c r="K533" t="s">
        <v>19</v>
      </c>
      <c r="L533" s="1">
        <v>44835</v>
      </c>
      <c r="M533">
        <v>0.43842906955404698</v>
      </c>
      <c r="N533">
        <v>1.5692428403295399E-4</v>
      </c>
    </row>
    <row r="534" spans="1:14" x14ac:dyDescent="0.25">
      <c r="A534" t="s">
        <v>558</v>
      </c>
      <c r="B534">
        <v>2895</v>
      </c>
      <c r="C534">
        <v>104</v>
      </c>
      <c r="D534">
        <v>6</v>
      </c>
      <c r="E534" t="s">
        <v>40</v>
      </c>
      <c r="F534" t="s">
        <v>44</v>
      </c>
      <c r="G534" t="s">
        <v>57</v>
      </c>
      <c r="H534" s="1">
        <v>43948</v>
      </c>
      <c r="I534" t="s">
        <v>559</v>
      </c>
      <c r="J534" t="s">
        <v>24</v>
      </c>
      <c r="K534" t="s">
        <v>25</v>
      </c>
      <c r="L534" s="1">
        <v>43922</v>
      </c>
      <c r="M534">
        <v>3.5924006908462897E-2</v>
      </c>
      <c r="N534">
        <v>4.7077285209886201E-4</v>
      </c>
    </row>
    <row r="535" spans="1:14" x14ac:dyDescent="0.25">
      <c r="A535" t="s">
        <v>558</v>
      </c>
      <c r="B535">
        <v>2895</v>
      </c>
      <c r="C535">
        <v>104</v>
      </c>
      <c r="D535">
        <v>6</v>
      </c>
      <c r="E535" t="s">
        <v>40</v>
      </c>
      <c r="F535" t="s">
        <v>44</v>
      </c>
      <c r="G535" t="s">
        <v>57</v>
      </c>
      <c r="H535" s="1">
        <v>45425</v>
      </c>
      <c r="I535" t="s">
        <v>560</v>
      </c>
      <c r="J535" t="s">
        <v>63</v>
      </c>
      <c r="K535" t="s">
        <v>112</v>
      </c>
      <c r="L535" s="1">
        <v>45413</v>
      </c>
      <c r="M535">
        <v>3.5924006908462897E-2</v>
      </c>
      <c r="N535">
        <v>4.7077285209886201E-4</v>
      </c>
    </row>
    <row r="536" spans="1:14" x14ac:dyDescent="0.25">
      <c r="A536" t="s">
        <v>558</v>
      </c>
      <c r="B536">
        <v>697</v>
      </c>
      <c r="C536">
        <v>116</v>
      </c>
      <c r="D536">
        <v>1</v>
      </c>
      <c r="E536" t="s">
        <v>40</v>
      </c>
      <c r="F536" t="s">
        <v>44</v>
      </c>
      <c r="G536" t="s">
        <v>16</v>
      </c>
      <c r="H536" s="1">
        <v>43948</v>
      </c>
      <c r="I536" t="s">
        <v>559</v>
      </c>
      <c r="J536" t="s">
        <v>24</v>
      </c>
      <c r="K536" t="s">
        <v>25</v>
      </c>
      <c r="L536" s="1">
        <v>43922</v>
      </c>
      <c r="M536">
        <v>0.166427546628407</v>
      </c>
      <c r="N536">
        <v>7.8462142016476997E-5</v>
      </c>
    </row>
    <row r="537" spans="1:14" x14ac:dyDescent="0.25">
      <c r="A537" t="s">
        <v>558</v>
      </c>
      <c r="B537">
        <v>697</v>
      </c>
      <c r="C537">
        <v>116</v>
      </c>
      <c r="D537">
        <v>1</v>
      </c>
      <c r="E537" t="s">
        <v>40</v>
      </c>
      <c r="F537" t="s">
        <v>44</v>
      </c>
      <c r="G537" t="s">
        <v>16</v>
      </c>
      <c r="H537" s="1">
        <v>45425</v>
      </c>
      <c r="I537" t="s">
        <v>560</v>
      </c>
      <c r="J537" t="s">
        <v>63</v>
      </c>
      <c r="K537" t="s">
        <v>112</v>
      </c>
      <c r="L537" s="1">
        <v>45413</v>
      </c>
      <c r="M537">
        <v>0.166427546628407</v>
      </c>
      <c r="N537">
        <v>7.8462142016476997E-5</v>
      </c>
    </row>
    <row r="538" spans="1:14" x14ac:dyDescent="0.25">
      <c r="A538" t="s">
        <v>561</v>
      </c>
      <c r="B538">
        <v>6145</v>
      </c>
      <c r="C538">
        <v>1414</v>
      </c>
      <c r="D538">
        <v>4</v>
      </c>
      <c r="E538" t="s">
        <v>40</v>
      </c>
      <c r="F538" t="s">
        <v>44</v>
      </c>
      <c r="G538" t="s">
        <v>57</v>
      </c>
      <c r="H538" s="1">
        <v>44127</v>
      </c>
      <c r="I538" t="s">
        <v>562</v>
      </c>
      <c r="J538" t="s">
        <v>38</v>
      </c>
      <c r="K538" t="s">
        <v>39</v>
      </c>
      <c r="L538" s="1">
        <v>44105</v>
      </c>
      <c r="M538">
        <v>0.23010577705451599</v>
      </c>
      <c r="N538">
        <v>3.1384856806590799E-4</v>
      </c>
    </row>
    <row r="539" spans="1:14" x14ac:dyDescent="0.25">
      <c r="A539" t="s">
        <v>561</v>
      </c>
      <c r="B539">
        <v>2504</v>
      </c>
      <c r="C539">
        <v>440</v>
      </c>
      <c r="D539">
        <v>18</v>
      </c>
      <c r="E539" t="s">
        <v>14</v>
      </c>
      <c r="F539" t="s">
        <v>26</v>
      </c>
      <c r="G539" t="s">
        <v>16</v>
      </c>
      <c r="H539" s="1">
        <v>44127</v>
      </c>
      <c r="I539" t="s">
        <v>562</v>
      </c>
      <c r="J539" t="s">
        <v>38</v>
      </c>
      <c r="K539" t="s">
        <v>39</v>
      </c>
      <c r="L539" s="1">
        <v>44105</v>
      </c>
      <c r="M539">
        <v>0.17571884984025599</v>
      </c>
      <c r="N539">
        <v>1.41231855629659E-3</v>
      </c>
    </row>
    <row r="540" spans="1:14" x14ac:dyDescent="0.25">
      <c r="A540" t="s">
        <v>561</v>
      </c>
      <c r="B540">
        <v>3124</v>
      </c>
      <c r="C540">
        <v>138</v>
      </c>
      <c r="D540">
        <v>16</v>
      </c>
      <c r="E540" t="s">
        <v>14</v>
      </c>
      <c r="F540" t="s">
        <v>71</v>
      </c>
      <c r="G540" t="s">
        <v>30</v>
      </c>
      <c r="H540" s="1">
        <v>44127</v>
      </c>
      <c r="I540" t="s">
        <v>562</v>
      </c>
      <c r="J540" t="s">
        <v>38</v>
      </c>
      <c r="K540" t="s">
        <v>39</v>
      </c>
      <c r="L540" s="1">
        <v>44105</v>
      </c>
      <c r="M540">
        <v>4.4174135723431499E-2</v>
      </c>
      <c r="N540">
        <v>1.25539427226363E-3</v>
      </c>
    </row>
    <row r="541" spans="1:14" x14ac:dyDescent="0.25">
      <c r="A541" t="s">
        <v>563</v>
      </c>
      <c r="B541">
        <v>6934</v>
      </c>
      <c r="C541">
        <v>1226</v>
      </c>
      <c r="D541">
        <v>1</v>
      </c>
      <c r="E541" t="s">
        <v>14</v>
      </c>
      <c r="F541" t="s">
        <v>15</v>
      </c>
      <c r="G541" t="s">
        <v>30</v>
      </c>
      <c r="H541" s="1">
        <v>44358</v>
      </c>
      <c r="I541" t="s">
        <v>564</v>
      </c>
      <c r="J541" t="s">
        <v>83</v>
      </c>
      <c r="K541" t="s">
        <v>90</v>
      </c>
      <c r="L541" s="1">
        <v>44348</v>
      </c>
      <c r="M541">
        <v>0.176809922122873</v>
      </c>
      <c r="N541">
        <v>7.8462142016476997E-5</v>
      </c>
    </row>
    <row r="542" spans="1:14" x14ac:dyDescent="0.25">
      <c r="A542" t="s">
        <v>563</v>
      </c>
      <c r="B542">
        <v>6934</v>
      </c>
      <c r="C542">
        <v>1226</v>
      </c>
      <c r="D542">
        <v>1</v>
      </c>
      <c r="E542" t="s">
        <v>14</v>
      </c>
      <c r="F542" t="s">
        <v>15</v>
      </c>
      <c r="G542" t="s">
        <v>30</v>
      </c>
      <c r="H542" s="1">
        <v>44447</v>
      </c>
      <c r="I542" t="s">
        <v>535</v>
      </c>
      <c r="J542" t="s">
        <v>24</v>
      </c>
      <c r="K542" t="s">
        <v>60</v>
      </c>
      <c r="L542" s="1">
        <v>44440</v>
      </c>
      <c r="M542">
        <v>0.176809922122873</v>
      </c>
      <c r="N542">
        <v>7.8462142016476997E-5</v>
      </c>
    </row>
    <row r="543" spans="1:14" x14ac:dyDescent="0.25">
      <c r="A543" t="s">
        <v>565</v>
      </c>
      <c r="B543">
        <v>4202</v>
      </c>
      <c r="C543">
        <v>1171</v>
      </c>
      <c r="D543">
        <v>3</v>
      </c>
      <c r="E543" t="s">
        <v>28</v>
      </c>
      <c r="F543" t="s">
        <v>50</v>
      </c>
      <c r="G543" t="s">
        <v>57</v>
      </c>
      <c r="H543" s="1">
        <v>44888</v>
      </c>
      <c r="I543" t="s">
        <v>566</v>
      </c>
      <c r="J543" t="s">
        <v>21</v>
      </c>
      <c r="K543" t="s">
        <v>138</v>
      </c>
      <c r="L543" s="1">
        <v>44866</v>
      </c>
      <c r="M543">
        <v>0.27867682056163701</v>
      </c>
      <c r="N543">
        <v>2.35386426049431E-4</v>
      </c>
    </row>
    <row r="544" spans="1:14" x14ac:dyDescent="0.25">
      <c r="A544" t="s">
        <v>565</v>
      </c>
      <c r="B544">
        <v>4202</v>
      </c>
      <c r="C544">
        <v>1171</v>
      </c>
      <c r="D544">
        <v>3</v>
      </c>
      <c r="E544" t="s">
        <v>28</v>
      </c>
      <c r="F544" t="s">
        <v>50</v>
      </c>
      <c r="G544" t="s">
        <v>57</v>
      </c>
      <c r="H544" s="1">
        <v>44865</v>
      </c>
      <c r="I544" t="s">
        <v>567</v>
      </c>
      <c r="J544" t="s">
        <v>24</v>
      </c>
      <c r="K544" t="s">
        <v>60</v>
      </c>
      <c r="L544" s="1">
        <v>44835</v>
      </c>
      <c r="M544">
        <v>0.27867682056163701</v>
      </c>
      <c r="N544">
        <v>2.35386426049431E-4</v>
      </c>
    </row>
    <row r="545" spans="1:14" x14ac:dyDescent="0.25">
      <c r="A545" t="s">
        <v>565</v>
      </c>
      <c r="B545">
        <v>4202</v>
      </c>
      <c r="C545">
        <v>1171</v>
      </c>
      <c r="D545">
        <v>3</v>
      </c>
      <c r="E545" t="s">
        <v>28</v>
      </c>
      <c r="F545" t="s">
        <v>50</v>
      </c>
      <c r="G545" t="s">
        <v>57</v>
      </c>
      <c r="H545" s="1">
        <v>45236</v>
      </c>
      <c r="I545" t="s">
        <v>568</v>
      </c>
      <c r="J545" t="s">
        <v>18</v>
      </c>
      <c r="K545" t="s">
        <v>122</v>
      </c>
      <c r="L545" s="1">
        <v>45231</v>
      </c>
      <c r="M545">
        <v>0.27867682056163701</v>
      </c>
      <c r="N545">
        <v>2.35386426049431E-4</v>
      </c>
    </row>
    <row r="546" spans="1:14" x14ac:dyDescent="0.25">
      <c r="A546" t="s">
        <v>565</v>
      </c>
      <c r="B546">
        <v>4202</v>
      </c>
      <c r="C546">
        <v>1171</v>
      </c>
      <c r="D546">
        <v>3</v>
      </c>
      <c r="E546" t="s">
        <v>28</v>
      </c>
      <c r="F546" t="s">
        <v>50</v>
      </c>
      <c r="G546" t="s">
        <v>57</v>
      </c>
      <c r="H546" s="1">
        <v>45242</v>
      </c>
      <c r="I546" t="s">
        <v>569</v>
      </c>
      <c r="J546" t="s">
        <v>63</v>
      </c>
      <c r="K546" t="s">
        <v>112</v>
      </c>
      <c r="L546" s="1">
        <v>45231</v>
      </c>
      <c r="M546">
        <v>0.27867682056163701</v>
      </c>
      <c r="N546">
        <v>2.35386426049431E-4</v>
      </c>
    </row>
    <row r="547" spans="1:14" x14ac:dyDescent="0.25">
      <c r="A547" t="s">
        <v>570</v>
      </c>
      <c r="B547">
        <v>2239</v>
      </c>
      <c r="C547">
        <v>828</v>
      </c>
      <c r="D547">
        <v>1</v>
      </c>
      <c r="E547" t="s">
        <v>14</v>
      </c>
      <c r="F547" t="s">
        <v>26</v>
      </c>
      <c r="G547" t="s">
        <v>16</v>
      </c>
      <c r="H547" s="1">
        <v>45103</v>
      </c>
      <c r="I547" t="s">
        <v>571</v>
      </c>
      <c r="J547" t="s">
        <v>38</v>
      </c>
      <c r="K547" t="s">
        <v>39</v>
      </c>
      <c r="L547" s="1">
        <v>45078</v>
      </c>
      <c r="M547">
        <v>0.36980794997766903</v>
      </c>
      <c r="N547">
        <v>7.8462142016476997E-5</v>
      </c>
    </row>
    <row r="548" spans="1:14" x14ac:dyDescent="0.25">
      <c r="A548" t="s">
        <v>570</v>
      </c>
      <c r="B548">
        <v>2239</v>
      </c>
      <c r="C548">
        <v>828</v>
      </c>
      <c r="D548">
        <v>1</v>
      </c>
      <c r="E548" t="s">
        <v>14</v>
      </c>
      <c r="F548" t="s">
        <v>26</v>
      </c>
      <c r="G548" t="s">
        <v>16</v>
      </c>
      <c r="H548" s="1">
        <v>45199</v>
      </c>
      <c r="I548" t="s">
        <v>572</v>
      </c>
      <c r="J548" t="s">
        <v>21</v>
      </c>
      <c r="K548" t="s">
        <v>22</v>
      </c>
      <c r="L548" s="1">
        <v>45170</v>
      </c>
      <c r="M548">
        <v>0.36980794997766903</v>
      </c>
      <c r="N548">
        <v>7.8462142016476997E-5</v>
      </c>
    </row>
    <row r="549" spans="1:14" x14ac:dyDescent="0.25">
      <c r="A549" t="s">
        <v>570</v>
      </c>
      <c r="B549">
        <v>2450</v>
      </c>
      <c r="C549">
        <v>1002</v>
      </c>
      <c r="D549">
        <v>4</v>
      </c>
      <c r="E549" t="s">
        <v>14</v>
      </c>
      <c r="F549" t="s">
        <v>71</v>
      </c>
      <c r="G549" t="s">
        <v>30</v>
      </c>
      <c r="H549" s="1">
        <v>45103</v>
      </c>
      <c r="I549" t="s">
        <v>571</v>
      </c>
      <c r="J549" t="s">
        <v>38</v>
      </c>
      <c r="K549" t="s">
        <v>39</v>
      </c>
      <c r="L549" s="1">
        <v>45078</v>
      </c>
      <c r="M549">
        <v>0.40897959183673499</v>
      </c>
      <c r="N549">
        <v>3.1384856806590799E-4</v>
      </c>
    </row>
    <row r="550" spans="1:14" x14ac:dyDescent="0.25">
      <c r="A550" t="s">
        <v>570</v>
      </c>
      <c r="B550">
        <v>2450</v>
      </c>
      <c r="C550">
        <v>1002</v>
      </c>
      <c r="D550">
        <v>4</v>
      </c>
      <c r="E550" t="s">
        <v>14</v>
      </c>
      <c r="F550" t="s">
        <v>71</v>
      </c>
      <c r="G550" t="s">
        <v>30</v>
      </c>
      <c r="H550" s="1">
        <v>45199</v>
      </c>
      <c r="I550" t="s">
        <v>572</v>
      </c>
      <c r="J550" t="s">
        <v>21</v>
      </c>
      <c r="K550" t="s">
        <v>22</v>
      </c>
      <c r="L550" s="1">
        <v>45170</v>
      </c>
      <c r="M550">
        <v>0.40897959183673499</v>
      </c>
      <c r="N550">
        <v>3.1384856806590799E-4</v>
      </c>
    </row>
    <row r="551" spans="1:14" x14ac:dyDescent="0.25">
      <c r="A551" t="s">
        <v>573</v>
      </c>
      <c r="B551">
        <v>9827</v>
      </c>
      <c r="C551">
        <v>4208</v>
      </c>
      <c r="D551">
        <v>13</v>
      </c>
      <c r="E551" t="s">
        <v>40</v>
      </c>
      <c r="F551" t="s">
        <v>44</v>
      </c>
      <c r="G551" t="s">
        <v>30</v>
      </c>
      <c r="H551" s="1">
        <v>44086</v>
      </c>
      <c r="I551" t="s">
        <v>574</v>
      </c>
      <c r="J551" t="s">
        <v>24</v>
      </c>
      <c r="K551" t="s">
        <v>46</v>
      </c>
      <c r="L551" s="1">
        <v>44075</v>
      </c>
      <c r="M551">
        <v>0.42820799837183299</v>
      </c>
      <c r="N551">
        <v>1.0200078462141999E-3</v>
      </c>
    </row>
    <row r="552" spans="1:14" x14ac:dyDescent="0.25">
      <c r="A552" t="s">
        <v>573</v>
      </c>
      <c r="B552">
        <v>8077</v>
      </c>
      <c r="C552">
        <v>240</v>
      </c>
      <c r="D552">
        <v>15</v>
      </c>
      <c r="E552" t="s">
        <v>40</v>
      </c>
      <c r="F552" t="s">
        <v>52</v>
      </c>
      <c r="G552" t="s">
        <v>42</v>
      </c>
      <c r="H552" s="1">
        <v>44086</v>
      </c>
      <c r="I552" t="s">
        <v>574</v>
      </c>
      <c r="J552" t="s">
        <v>24</v>
      </c>
      <c r="K552" t="s">
        <v>46</v>
      </c>
      <c r="L552" s="1">
        <v>44075</v>
      </c>
      <c r="M552">
        <v>2.9714002723783599E-2</v>
      </c>
      <c r="N552">
        <v>1.17693213024716E-3</v>
      </c>
    </row>
    <row r="553" spans="1:14" x14ac:dyDescent="0.25">
      <c r="A553" t="s">
        <v>575</v>
      </c>
      <c r="B553">
        <v>5152</v>
      </c>
      <c r="C553">
        <v>2045</v>
      </c>
      <c r="D553">
        <v>14</v>
      </c>
      <c r="E553" t="s">
        <v>14</v>
      </c>
      <c r="F553" t="s">
        <v>71</v>
      </c>
      <c r="G553" t="s">
        <v>16</v>
      </c>
      <c r="H553" s="1">
        <v>44162</v>
      </c>
      <c r="I553" t="s">
        <v>576</v>
      </c>
      <c r="J553" t="s">
        <v>21</v>
      </c>
      <c r="K553" t="s">
        <v>55</v>
      </c>
      <c r="L553" s="1">
        <v>44136</v>
      </c>
      <c r="M553">
        <v>0.39693322981366502</v>
      </c>
      <c r="N553">
        <v>1.0984699882306799E-3</v>
      </c>
    </row>
    <row r="554" spans="1:14" x14ac:dyDescent="0.25">
      <c r="A554" t="s">
        <v>575</v>
      </c>
      <c r="B554">
        <v>5152</v>
      </c>
      <c r="C554">
        <v>2045</v>
      </c>
      <c r="D554">
        <v>14</v>
      </c>
      <c r="E554" t="s">
        <v>14</v>
      </c>
      <c r="F554" t="s">
        <v>71</v>
      </c>
      <c r="G554" t="s">
        <v>16</v>
      </c>
      <c r="H554" s="1">
        <v>44798</v>
      </c>
      <c r="I554" t="s">
        <v>577</v>
      </c>
      <c r="J554" t="s">
        <v>38</v>
      </c>
      <c r="K554" t="s">
        <v>39</v>
      </c>
      <c r="L554" s="1">
        <v>44774</v>
      </c>
      <c r="M554">
        <v>0.39693322981366502</v>
      </c>
      <c r="N554">
        <v>1.0984699882306799E-3</v>
      </c>
    </row>
    <row r="555" spans="1:14" x14ac:dyDescent="0.25">
      <c r="A555" t="s">
        <v>575</v>
      </c>
      <c r="B555">
        <v>5152</v>
      </c>
      <c r="C555">
        <v>2045</v>
      </c>
      <c r="D555">
        <v>14</v>
      </c>
      <c r="E555" t="s">
        <v>14</v>
      </c>
      <c r="F555" t="s">
        <v>71</v>
      </c>
      <c r="G555" t="s">
        <v>16</v>
      </c>
      <c r="H555" s="1">
        <v>45161</v>
      </c>
      <c r="I555" t="s">
        <v>578</v>
      </c>
      <c r="J555" t="s">
        <v>21</v>
      </c>
      <c r="K555" t="s">
        <v>22</v>
      </c>
      <c r="L555" s="1">
        <v>45139</v>
      </c>
      <c r="M555">
        <v>0.39693322981366502</v>
      </c>
      <c r="N555">
        <v>1.0984699882306799E-3</v>
      </c>
    </row>
    <row r="556" spans="1:14" x14ac:dyDescent="0.25">
      <c r="A556" t="s">
        <v>575</v>
      </c>
      <c r="B556">
        <v>5152</v>
      </c>
      <c r="C556">
        <v>2045</v>
      </c>
      <c r="D556">
        <v>14</v>
      </c>
      <c r="E556" t="s">
        <v>14</v>
      </c>
      <c r="F556" t="s">
        <v>71</v>
      </c>
      <c r="G556" t="s">
        <v>16</v>
      </c>
      <c r="H556" s="1">
        <v>45210</v>
      </c>
      <c r="I556" t="s">
        <v>579</v>
      </c>
      <c r="J556" t="s">
        <v>24</v>
      </c>
      <c r="K556" t="s">
        <v>60</v>
      </c>
      <c r="L556" s="1">
        <v>45200</v>
      </c>
      <c r="M556">
        <v>0.39693322981366502</v>
      </c>
      <c r="N556">
        <v>1.0984699882306799E-3</v>
      </c>
    </row>
    <row r="557" spans="1:14" x14ac:dyDescent="0.25">
      <c r="A557" t="s">
        <v>580</v>
      </c>
      <c r="B557">
        <v>2542</v>
      </c>
      <c r="C557">
        <v>190</v>
      </c>
      <c r="D557">
        <v>1</v>
      </c>
      <c r="E557" t="s">
        <v>28</v>
      </c>
      <c r="F557" t="s">
        <v>50</v>
      </c>
      <c r="G557" t="s">
        <v>42</v>
      </c>
      <c r="H557" s="1">
        <v>44672</v>
      </c>
      <c r="I557" t="s">
        <v>581</v>
      </c>
      <c r="J557" t="s">
        <v>63</v>
      </c>
      <c r="K557" t="s">
        <v>112</v>
      </c>
      <c r="L557" s="1">
        <v>44652</v>
      </c>
      <c r="M557">
        <v>7.4744295830055096E-2</v>
      </c>
      <c r="N557">
        <v>7.8462142016476997E-5</v>
      </c>
    </row>
    <row r="558" spans="1:14" x14ac:dyDescent="0.25">
      <c r="A558" t="s">
        <v>582</v>
      </c>
      <c r="B558">
        <v>8102</v>
      </c>
      <c r="C558">
        <v>1800</v>
      </c>
      <c r="D558">
        <v>5</v>
      </c>
      <c r="E558" t="s">
        <v>28</v>
      </c>
      <c r="F558" t="s">
        <v>50</v>
      </c>
      <c r="G558" t="s">
        <v>16</v>
      </c>
      <c r="H558" s="1">
        <v>45183</v>
      </c>
      <c r="I558" t="s">
        <v>583</v>
      </c>
      <c r="J558" t="s">
        <v>38</v>
      </c>
      <c r="K558" t="s">
        <v>79</v>
      </c>
      <c r="L558" s="1">
        <v>45170</v>
      </c>
      <c r="M558">
        <v>0.222167366082449</v>
      </c>
      <c r="N558">
        <v>3.9231071008238503E-4</v>
      </c>
    </row>
    <row r="559" spans="1:14" x14ac:dyDescent="0.25">
      <c r="A559" t="s">
        <v>582</v>
      </c>
      <c r="B559">
        <v>8102</v>
      </c>
      <c r="C559">
        <v>1800</v>
      </c>
      <c r="D559">
        <v>5</v>
      </c>
      <c r="E559" t="s">
        <v>28</v>
      </c>
      <c r="F559" t="s">
        <v>50</v>
      </c>
      <c r="G559" t="s">
        <v>16</v>
      </c>
      <c r="H559" s="1">
        <v>43950</v>
      </c>
      <c r="I559" t="s">
        <v>584</v>
      </c>
      <c r="J559" t="s">
        <v>24</v>
      </c>
      <c r="K559" t="s">
        <v>25</v>
      </c>
      <c r="L559" s="1">
        <v>43922</v>
      </c>
      <c r="M559">
        <v>0.222167366082449</v>
      </c>
      <c r="N559">
        <v>3.9231071008238503E-4</v>
      </c>
    </row>
    <row r="560" spans="1:14" x14ac:dyDescent="0.25">
      <c r="A560" t="s">
        <v>582</v>
      </c>
      <c r="B560">
        <v>8102</v>
      </c>
      <c r="C560">
        <v>1800</v>
      </c>
      <c r="D560">
        <v>5</v>
      </c>
      <c r="E560" t="s">
        <v>28</v>
      </c>
      <c r="F560" t="s">
        <v>50</v>
      </c>
      <c r="G560" t="s">
        <v>16</v>
      </c>
      <c r="H560" s="1">
        <v>44180</v>
      </c>
      <c r="I560" t="s">
        <v>585</v>
      </c>
      <c r="J560" t="s">
        <v>83</v>
      </c>
      <c r="K560" t="s">
        <v>98</v>
      </c>
      <c r="L560" s="1">
        <v>44166</v>
      </c>
      <c r="M560">
        <v>0.222167366082449</v>
      </c>
      <c r="N560">
        <v>3.9231071008238503E-4</v>
      </c>
    </row>
    <row r="561" spans="1:14" x14ac:dyDescent="0.25">
      <c r="A561" t="s">
        <v>582</v>
      </c>
      <c r="B561">
        <v>3234</v>
      </c>
      <c r="C561">
        <v>1274</v>
      </c>
      <c r="D561">
        <v>10</v>
      </c>
      <c r="E561" t="s">
        <v>40</v>
      </c>
      <c r="F561" t="s">
        <v>41</v>
      </c>
      <c r="G561" t="s">
        <v>36</v>
      </c>
      <c r="H561" s="1">
        <v>45183</v>
      </c>
      <c r="I561" t="s">
        <v>583</v>
      </c>
      <c r="J561" t="s">
        <v>38</v>
      </c>
      <c r="K561" t="s">
        <v>79</v>
      </c>
      <c r="L561" s="1">
        <v>45170</v>
      </c>
      <c r="M561">
        <v>0.39393939393939398</v>
      </c>
      <c r="N561">
        <v>7.8462142016477005E-4</v>
      </c>
    </row>
    <row r="562" spans="1:14" x14ac:dyDescent="0.25">
      <c r="A562" t="s">
        <v>582</v>
      </c>
      <c r="B562">
        <v>3234</v>
      </c>
      <c r="C562">
        <v>1274</v>
      </c>
      <c r="D562">
        <v>10</v>
      </c>
      <c r="E562" t="s">
        <v>40</v>
      </c>
      <c r="F562" t="s">
        <v>41</v>
      </c>
      <c r="G562" t="s">
        <v>36</v>
      </c>
      <c r="H562" s="1">
        <v>43950</v>
      </c>
      <c r="I562" t="s">
        <v>584</v>
      </c>
      <c r="J562" t="s">
        <v>24</v>
      </c>
      <c r="K562" t="s">
        <v>25</v>
      </c>
      <c r="L562" s="1">
        <v>43922</v>
      </c>
      <c r="M562">
        <v>0.39393939393939398</v>
      </c>
      <c r="N562">
        <v>7.8462142016477005E-4</v>
      </c>
    </row>
    <row r="563" spans="1:14" x14ac:dyDescent="0.25">
      <c r="A563" t="s">
        <v>582</v>
      </c>
      <c r="B563">
        <v>3234</v>
      </c>
      <c r="C563">
        <v>1274</v>
      </c>
      <c r="D563">
        <v>10</v>
      </c>
      <c r="E563" t="s">
        <v>40</v>
      </c>
      <c r="F563" t="s">
        <v>41</v>
      </c>
      <c r="G563" t="s">
        <v>36</v>
      </c>
      <c r="H563" s="1">
        <v>44180</v>
      </c>
      <c r="I563" t="s">
        <v>585</v>
      </c>
      <c r="J563" t="s">
        <v>83</v>
      </c>
      <c r="K563" t="s">
        <v>98</v>
      </c>
      <c r="L563" s="1">
        <v>44166</v>
      </c>
      <c r="M563">
        <v>0.39393939393939398</v>
      </c>
      <c r="N563">
        <v>7.8462142016477005E-4</v>
      </c>
    </row>
    <row r="564" spans="1:14" x14ac:dyDescent="0.25">
      <c r="A564" t="s">
        <v>586</v>
      </c>
      <c r="B564">
        <v>6200</v>
      </c>
      <c r="C564">
        <v>2321</v>
      </c>
      <c r="D564">
        <v>18</v>
      </c>
      <c r="E564" t="s">
        <v>40</v>
      </c>
      <c r="F564" t="s">
        <v>41</v>
      </c>
      <c r="G564" t="s">
        <v>42</v>
      </c>
      <c r="H564" s="1">
        <v>45484</v>
      </c>
      <c r="I564" t="s">
        <v>587</v>
      </c>
      <c r="J564" t="s">
        <v>38</v>
      </c>
      <c r="K564" t="s">
        <v>39</v>
      </c>
      <c r="L564" s="1">
        <v>45474</v>
      </c>
      <c r="M564">
        <v>0.37435483870967701</v>
      </c>
      <c r="N564">
        <v>1.41231855629659E-3</v>
      </c>
    </row>
    <row r="565" spans="1:14" x14ac:dyDescent="0.25">
      <c r="A565" t="s">
        <v>586</v>
      </c>
      <c r="B565">
        <v>6200</v>
      </c>
      <c r="C565">
        <v>2321</v>
      </c>
      <c r="D565">
        <v>18</v>
      </c>
      <c r="E565" t="s">
        <v>40</v>
      </c>
      <c r="F565" t="s">
        <v>41</v>
      </c>
      <c r="G565" t="s">
        <v>42</v>
      </c>
      <c r="H565" s="1">
        <v>45556</v>
      </c>
      <c r="I565" t="s">
        <v>588</v>
      </c>
      <c r="J565" t="s">
        <v>18</v>
      </c>
      <c r="K565" t="s">
        <v>19</v>
      </c>
      <c r="L565" s="1">
        <v>45536</v>
      </c>
      <c r="M565">
        <v>0.37435483870967701</v>
      </c>
      <c r="N565">
        <v>1.41231855629659E-3</v>
      </c>
    </row>
    <row r="566" spans="1:14" x14ac:dyDescent="0.25">
      <c r="A566" t="s">
        <v>589</v>
      </c>
      <c r="B566">
        <v>4470</v>
      </c>
      <c r="C566">
        <v>413</v>
      </c>
      <c r="D566">
        <v>13</v>
      </c>
      <c r="E566" t="s">
        <v>14</v>
      </c>
      <c r="F566" t="s">
        <v>35</v>
      </c>
      <c r="G566" t="s">
        <v>16</v>
      </c>
      <c r="H566" s="1">
        <v>45690</v>
      </c>
      <c r="I566" t="s">
        <v>590</v>
      </c>
      <c r="J566" t="s">
        <v>38</v>
      </c>
      <c r="K566" t="s">
        <v>39</v>
      </c>
      <c r="L566" s="1">
        <v>45689</v>
      </c>
      <c r="M566">
        <v>9.2393736017897105E-2</v>
      </c>
      <c r="N566">
        <v>1.0200078462141999E-3</v>
      </c>
    </row>
    <row r="567" spans="1:14" x14ac:dyDescent="0.25">
      <c r="A567" t="s">
        <v>591</v>
      </c>
      <c r="B567">
        <v>916</v>
      </c>
      <c r="C567">
        <v>362</v>
      </c>
      <c r="D567">
        <v>7</v>
      </c>
      <c r="E567" t="s">
        <v>28</v>
      </c>
      <c r="F567" t="s">
        <v>29</v>
      </c>
      <c r="G567" t="s">
        <v>16</v>
      </c>
      <c r="H567" s="1">
        <v>44855</v>
      </c>
      <c r="I567" t="s">
        <v>592</v>
      </c>
      <c r="J567" t="s">
        <v>21</v>
      </c>
      <c r="K567" t="s">
        <v>55</v>
      </c>
      <c r="L567" s="1">
        <v>44835</v>
      </c>
      <c r="M567">
        <v>0.39519650655021799</v>
      </c>
      <c r="N567">
        <v>5.4923499411533899E-4</v>
      </c>
    </row>
    <row r="568" spans="1:14" x14ac:dyDescent="0.25">
      <c r="A568" t="s">
        <v>591</v>
      </c>
      <c r="B568">
        <v>916</v>
      </c>
      <c r="C568">
        <v>362</v>
      </c>
      <c r="D568">
        <v>7</v>
      </c>
      <c r="E568" t="s">
        <v>28</v>
      </c>
      <c r="F568" t="s">
        <v>29</v>
      </c>
      <c r="G568" t="s">
        <v>16</v>
      </c>
      <c r="H568" s="1">
        <v>44125</v>
      </c>
      <c r="I568" t="s">
        <v>593</v>
      </c>
      <c r="J568" t="s">
        <v>38</v>
      </c>
      <c r="K568" t="s">
        <v>79</v>
      </c>
      <c r="L568" s="1">
        <v>44105</v>
      </c>
      <c r="M568">
        <v>0.39519650655021799</v>
      </c>
      <c r="N568">
        <v>5.4923499411533899E-4</v>
      </c>
    </row>
    <row r="569" spans="1:14" x14ac:dyDescent="0.25">
      <c r="A569" t="s">
        <v>591</v>
      </c>
      <c r="B569">
        <v>1165</v>
      </c>
      <c r="C569">
        <v>302</v>
      </c>
      <c r="D569">
        <v>20</v>
      </c>
      <c r="E569" t="s">
        <v>40</v>
      </c>
      <c r="F569" t="s">
        <v>52</v>
      </c>
      <c r="G569" t="s">
        <v>16</v>
      </c>
      <c r="H569" s="1">
        <v>44855</v>
      </c>
      <c r="I569" t="s">
        <v>592</v>
      </c>
      <c r="J569" t="s">
        <v>21</v>
      </c>
      <c r="K569" t="s">
        <v>55</v>
      </c>
      <c r="L569" s="1">
        <v>44835</v>
      </c>
      <c r="M569">
        <v>0.25922746781115902</v>
      </c>
      <c r="N569">
        <v>1.5692428403295401E-3</v>
      </c>
    </row>
    <row r="570" spans="1:14" x14ac:dyDescent="0.25">
      <c r="A570" t="s">
        <v>591</v>
      </c>
      <c r="B570">
        <v>1165</v>
      </c>
      <c r="C570">
        <v>302</v>
      </c>
      <c r="D570">
        <v>20</v>
      </c>
      <c r="E570" t="s">
        <v>40</v>
      </c>
      <c r="F570" t="s">
        <v>52</v>
      </c>
      <c r="G570" t="s">
        <v>16</v>
      </c>
      <c r="H570" s="1">
        <v>44125</v>
      </c>
      <c r="I570" t="s">
        <v>593</v>
      </c>
      <c r="J570" t="s">
        <v>38</v>
      </c>
      <c r="K570" t="s">
        <v>79</v>
      </c>
      <c r="L570" s="1">
        <v>44105</v>
      </c>
      <c r="M570">
        <v>0.25922746781115902</v>
      </c>
      <c r="N570">
        <v>1.5692428403295401E-3</v>
      </c>
    </row>
    <row r="571" spans="1:14" x14ac:dyDescent="0.25">
      <c r="A571" t="s">
        <v>591</v>
      </c>
      <c r="B571">
        <v>7846</v>
      </c>
      <c r="C571">
        <v>677</v>
      </c>
      <c r="D571">
        <v>12</v>
      </c>
      <c r="E571" t="s">
        <v>40</v>
      </c>
      <c r="F571" t="s">
        <v>44</v>
      </c>
      <c r="G571" t="s">
        <v>16</v>
      </c>
      <c r="H571" s="1">
        <v>44855</v>
      </c>
      <c r="I571" t="s">
        <v>592</v>
      </c>
      <c r="J571" t="s">
        <v>21</v>
      </c>
      <c r="K571" t="s">
        <v>55</v>
      </c>
      <c r="L571" s="1">
        <v>44835</v>
      </c>
      <c r="M571">
        <v>8.6286005607953103E-2</v>
      </c>
      <c r="N571">
        <v>9.4154570419772402E-4</v>
      </c>
    </row>
    <row r="572" spans="1:14" x14ac:dyDescent="0.25">
      <c r="A572" t="s">
        <v>591</v>
      </c>
      <c r="B572">
        <v>7846</v>
      </c>
      <c r="C572">
        <v>677</v>
      </c>
      <c r="D572">
        <v>12</v>
      </c>
      <c r="E572" t="s">
        <v>40</v>
      </c>
      <c r="F572" t="s">
        <v>44</v>
      </c>
      <c r="G572" t="s">
        <v>16</v>
      </c>
      <c r="H572" s="1">
        <v>44125</v>
      </c>
      <c r="I572" t="s">
        <v>593</v>
      </c>
      <c r="J572" t="s">
        <v>38</v>
      </c>
      <c r="K572" t="s">
        <v>79</v>
      </c>
      <c r="L572" s="1">
        <v>44105</v>
      </c>
      <c r="M572">
        <v>8.6286005607953103E-2</v>
      </c>
      <c r="N572">
        <v>9.4154570419772402E-4</v>
      </c>
    </row>
    <row r="573" spans="1:14" x14ac:dyDescent="0.25">
      <c r="A573" t="s">
        <v>594</v>
      </c>
      <c r="B573">
        <v>3022</v>
      </c>
      <c r="C573">
        <v>384</v>
      </c>
      <c r="D573">
        <v>1</v>
      </c>
      <c r="E573" t="s">
        <v>28</v>
      </c>
      <c r="F573" t="s">
        <v>29</v>
      </c>
      <c r="G573" t="s">
        <v>42</v>
      </c>
      <c r="H573" s="1">
        <v>44572</v>
      </c>
      <c r="I573" t="s">
        <v>595</v>
      </c>
      <c r="J573" t="s">
        <v>63</v>
      </c>
      <c r="K573" t="s">
        <v>75</v>
      </c>
      <c r="L573" s="1">
        <v>44562</v>
      </c>
      <c r="M573">
        <v>0.127068166776969</v>
      </c>
      <c r="N573">
        <v>7.8462142016476997E-5</v>
      </c>
    </row>
    <row r="574" spans="1:14" x14ac:dyDescent="0.25">
      <c r="A574" t="s">
        <v>594</v>
      </c>
      <c r="B574">
        <v>3022</v>
      </c>
      <c r="C574">
        <v>384</v>
      </c>
      <c r="D574">
        <v>1</v>
      </c>
      <c r="E574" t="s">
        <v>28</v>
      </c>
      <c r="F574" t="s">
        <v>29</v>
      </c>
      <c r="G574" t="s">
        <v>42</v>
      </c>
      <c r="H574" s="1">
        <v>44244</v>
      </c>
      <c r="I574" t="s">
        <v>596</v>
      </c>
      <c r="J574" t="s">
        <v>21</v>
      </c>
      <c r="K574" t="s">
        <v>22</v>
      </c>
      <c r="L574" s="1">
        <v>44228</v>
      </c>
      <c r="M574">
        <v>0.127068166776969</v>
      </c>
      <c r="N574">
        <v>7.8462142016476997E-5</v>
      </c>
    </row>
    <row r="575" spans="1:14" x14ac:dyDescent="0.25">
      <c r="A575" t="s">
        <v>594</v>
      </c>
      <c r="B575">
        <v>5266</v>
      </c>
      <c r="C575">
        <v>1111</v>
      </c>
      <c r="D575">
        <v>13</v>
      </c>
      <c r="E575" t="s">
        <v>14</v>
      </c>
      <c r="F575" t="s">
        <v>15</v>
      </c>
      <c r="G575" t="s">
        <v>30</v>
      </c>
      <c r="H575" s="1">
        <v>44572</v>
      </c>
      <c r="I575" t="s">
        <v>595</v>
      </c>
      <c r="J575" t="s">
        <v>63</v>
      </c>
      <c r="K575" t="s">
        <v>75</v>
      </c>
      <c r="L575" s="1">
        <v>44562</v>
      </c>
      <c r="M575">
        <v>0.21097607292062301</v>
      </c>
      <c r="N575">
        <v>1.0200078462141999E-3</v>
      </c>
    </row>
    <row r="576" spans="1:14" x14ac:dyDescent="0.25">
      <c r="A576" t="s">
        <v>594</v>
      </c>
      <c r="B576">
        <v>5266</v>
      </c>
      <c r="C576">
        <v>1111</v>
      </c>
      <c r="D576">
        <v>13</v>
      </c>
      <c r="E576" t="s">
        <v>14</v>
      </c>
      <c r="F576" t="s">
        <v>15</v>
      </c>
      <c r="G576" t="s">
        <v>30</v>
      </c>
      <c r="H576" s="1">
        <v>44244</v>
      </c>
      <c r="I576" t="s">
        <v>596</v>
      </c>
      <c r="J576" t="s">
        <v>21</v>
      </c>
      <c r="K576" t="s">
        <v>22</v>
      </c>
      <c r="L576" s="1">
        <v>44228</v>
      </c>
      <c r="M576">
        <v>0.21097607292062301</v>
      </c>
      <c r="N576">
        <v>1.0200078462141999E-3</v>
      </c>
    </row>
    <row r="577" spans="1:14" x14ac:dyDescent="0.25">
      <c r="A577" t="s">
        <v>597</v>
      </c>
      <c r="B577">
        <v>4853</v>
      </c>
      <c r="C577">
        <v>1764</v>
      </c>
      <c r="D577">
        <v>9</v>
      </c>
      <c r="E577" t="s">
        <v>28</v>
      </c>
      <c r="F577" t="s">
        <v>29</v>
      </c>
      <c r="G577" t="s">
        <v>30</v>
      </c>
      <c r="H577" s="1">
        <v>44506</v>
      </c>
      <c r="I577" t="s">
        <v>598</v>
      </c>
      <c r="J577" t="s">
        <v>18</v>
      </c>
      <c r="K577" t="s">
        <v>32</v>
      </c>
      <c r="L577" s="1">
        <v>44501</v>
      </c>
      <c r="M577">
        <v>0.36348650319390102</v>
      </c>
      <c r="N577">
        <v>7.0615927814829404E-4</v>
      </c>
    </row>
    <row r="578" spans="1:14" x14ac:dyDescent="0.25">
      <c r="A578" t="s">
        <v>597</v>
      </c>
      <c r="B578">
        <v>4853</v>
      </c>
      <c r="C578">
        <v>1764</v>
      </c>
      <c r="D578">
        <v>9</v>
      </c>
      <c r="E578" t="s">
        <v>28</v>
      </c>
      <c r="F578" t="s">
        <v>29</v>
      </c>
      <c r="G578" t="s">
        <v>30</v>
      </c>
      <c r="H578" s="1">
        <v>44803</v>
      </c>
      <c r="I578" t="s">
        <v>599</v>
      </c>
      <c r="J578" t="s">
        <v>63</v>
      </c>
      <c r="K578" t="s">
        <v>112</v>
      </c>
      <c r="L578" s="1">
        <v>44774</v>
      </c>
      <c r="M578">
        <v>0.36348650319390102</v>
      </c>
      <c r="N578">
        <v>7.0615927814829404E-4</v>
      </c>
    </row>
    <row r="579" spans="1:14" x14ac:dyDescent="0.25">
      <c r="A579" t="s">
        <v>600</v>
      </c>
      <c r="B579">
        <v>9832</v>
      </c>
      <c r="C579">
        <v>1270</v>
      </c>
      <c r="D579">
        <v>1</v>
      </c>
      <c r="E579" t="s">
        <v>28</v>
      </c>
      <c r="F579" t="s">
        <v>29</v>
      </c>
      <c r="G579" t="s">
        <v>57</v>
      </c>
      <c r="H579" s="1">
        <v>44841</v>
      </c>
      <c r="I579" t="s">
        <v>601</v>
      </c>
      <c r="J579" t="s">
        <v>38</v>
      </c>
      <c r="K579" t="s">
        <v>79</v>
      </c>
      <c r="L579" s="1">
        <v>44835</v>
      </c>
      <c r="M579">
        <v>0.129170056956876</v>
      </c>
      <c r="N579">
        <v>7.8462142016476997E-5</v>
      </c>
    </row>
    <row r="580" spans="1:14" x14ac:dyDescent="0.25">
      <c r="A580" t="s">
        <v>600</v>
      </c>
      <c r="B580">
        <v>796</v>
      </c>
      <c r="C580">
        <v>153</v>
      </c>
      <c r="D580">
        <v>15</v>
      </c>
      <c r="E580" t="s">
        <v>28</v>
      </c>
      <c r="F580" t="s">
        <v>29</v>
      </c>
      <c r="G580" t="s">
        <v>42</v>
      </c>
      <c r="H580" s="1">
        <v>44841</v>
      </c>
      <c r="I580" t="s">
        <v>601</v>
      </c>
      <c r="J580" t="s">
        <v>38</v>
      </c>
      <c r="K580" t="s">
        <v>79</v>
      </c>
      <c r="L580" s="1">
        <v>44835</v>
      </c>
      <c r="M580">
        <v>0.19221105527638199</v>
      </c>
      <c r="N580">
        <v>1.17693213024716E-3</v>
      </c>
    </row>
    <row r="581" spans="1:14" x14ac:dyDescent="0.25">
      <c r="A581" t="s">
        <v>602</v>
      </c>
      <c r="B581">
        <v>883</v>
      </c>
      <c r="C581">
        <v>127</v>
      </c>
      <c r="D581">
        <v>7</v>
      </c>
      <c r="E581" t="s">
        <v>40</v>
      </c>
      <c r="F581" t="s">
        <v>44</v>
      </c>
      <c r="G581" t="s">
        <v>57</v>
      </c>
      <c r="H581" s="1">
        <v>45081</v>
      </c>
      <c r="I581" t="s">
        <v>603</v>
      </c>
      <c r="J581" t="s">
        <v>38</v>
      </c>
      <c r="K581" t="s">
        <v>79</v>
      </c>
      <c r="L581" s="1">
        <v>45078</v>
      </c>
      <c r="M581">
        <v>0.143827859569649</v>
      </c>
      <c r="N581">
        <v>5.4923499411533899E-4</v>
      </c>
    </row>
    <row r="582" spans="1:14" x14ac:dyDescent="0.25">
      <c r="A582" t="s">
        <v>602</v>
      </c>
      <c r="B582">
        <v>4539</v>
      </c>
      <c r="C582">
        <v>1155</v>
      </c>
      <c r="D582">
        <v>8</v>
      </c>
      <c r="E582" t="s">
        <v>40</v>
      </c>
      <c r="F582" t="s">
        <v>91</v>
      </c>
      <c r="G582" t="s">
        <v>30</v>
      </c>
      <c r="H582" s="1">
        <v>45081</v>
      </c>
      <c r="I582" t="s">
        <v>603</v>
      </c>
      <c r="J582" t="s">
        <v>38</v>
      </c>
      <c r="K582" t="s">
        <v>79</v>
      </c>
      <c r="L582" s="1">
        <v>45078</v>
      </c>
      <c r="M582">
        <v>0.25446133509583602</v>
      </c>
      <c r="N582">
        <v>6.2769713613181597E-4</v>
      </c>
    </row>
    <row r="583" spans="1:14" x14ac:dyDescent="0.25">
      <c r="A583" t="s">
        <v>602</v>
      </c>
      <c r="B583">
        <v>9659</v>
      </c>
      <c r="C583">
        <v>2226</v>
      </c>
      <c r="D583">
        <v>16</v>
      </c>
      <c r="E583" t="s">
        <v>28</v>
      </c>
      <c r="F583" t="s">
        <v>68</v>
      </c>
      <c r="G583" t="s">
        <v>30</v>
      </c>
      <c r="H583" s="1">
        <v>45081</v>
      </c>
      <c r="I583" t="s">
        <v>603</v>
      </c>
      <c r="J583" t="s">
        <v>38</v>
      </c>
      <c r="K583" t="s">
        <v>79</v>
      </c>
      <c r="L583" s="1">
        <v>45078</v>
      </c>
      <c r="M583">
        <v>0.23045863961072599</v>
      </c>
      <c r="N583">
        <v>1.25539427226363E-3</v>
      </c>
    </row>
    <row r="584" spans="1:14" x14ac:dyDescent="0.25">
      <c r="A584" t="s">
        <v>604</v>
      </c>
      <c r="B584">
        <v>9562</v>
      </c>
      <c r="C584">
        <v>325</v>
      </c>
      <c r="D584">
        <v>2</v>
      </c>
      <c r="E584" t="s">
        <v>14</v>
      </c>
      <c r="F584" t="s">
        <v>26</v>
      </c>
      <c r="G584" t="s">
        <v>30</v>
      </c>
      <c r="H584" s="1">
        <v>44694</v>
      </c>
      <c r="I584" t="s">
        <v>605</v>
      </c>
      <c r="J584" t="s">
        <v>38</v>
      </c>
      <c r="K584" t="s">
        <v>66</v>
      </c>
      <c r="L584" s="1">
        <v>44682</v>
      </c>
      <c r="M584">
        <v>3.3988705291779997E-2</v>
      </c>
      <c r="N584">
        <v>1.5692428403295399E-4</v>
      </c>
    </row>
    <row r="585" spans="1:14" x14ac:dyDescent="0.25">
      <c r="A585" t="s">
        <v>606</v>
      </c>
      <c r="B585">
        <v>4688</v>
      </c>
      <c r="C585">
        <v>1841</v>
      </c>
      <c r="D585">
        <v>3</v>
      </c>
      <c r="E585" t="s">
        <v>14</v>
      </c>
      <c r="F585" t="s">
        <v>35</v>
      </c>
      <c r="G585" t="s">
        <v>42</v>
      </c>
      <c r="H585" s="1">
        <v>44949</v>
      </c>
      <c r="I585" t="s">
        <v>607</v>
      </c>
      <c r="J585" t="s">
        <v>38</v>
      </c>
      <c r="K585" t="s">
        <v>79</v>
      </c>
      <c r="L585" s="1">
        <v>44927</v>
      </c>
      <c r="M585">
        <v>0.392704778156997</v>
      </c>
      <c r="N585">
        <v>2.35386426049431E-4</v>
      </c>
    </row>
    <row r="586" spans="1:14" x14ac:dyDescent="0.25">
      <c r="A586" t="s">
        <v>606</v>
      </c>
      <c r="B586">
        <v>4688</v>
      </c>
      <c r="C586">
        <v>1841</v>
      </c>
      <c r="D586">
        <v>3</v>
      </c>
      <c r="E586" t="s">
        <v>14</v>
      </c>
      <c r="F586" t="s">
        <v>35</v>
      </c>
      <c r="G586" t="s">
        <v>42</v>
      </c>
      <c r="H586" s="1">
        <v>44402</v>
      </c>
      <c r="I586" t="s">
        <v>608</v>
      </c>
      <c r="J586" t="s">
        <v>38</v>
      </c>
      <c r="K586" t="s">
        <v>66</v>
      </c>
      <c r="L586" s="1">
        <v>44378</v>
      </c>
      <c r="M586">
        <v>0.392704778156997</v>
      </c>
      <c r="N586">
        <v>2.35386426049431E-4</v>
      </c>
    </row>
    <row r="587" spans="1:14" x14ac:dyDescent="0.25">
      <c r="A587" t="s">
        <v>609</v>
      </c>
      <c r="B587">
        <v>7900</v>
      </c>
      <c r="C587">
        <v>482</v>
      </c>
      <c r="D587">
        <v>4</v>
      </c>
      <c r="E587" t="s">
        <v>14</v>
      </c>
      <c r="F587" t="s">
        <v>71</v>
      </c>
      <c r="G587" t="s">
        <v>57</v>
      </c>
      <c r="H587" s="1">
        <v>45724</v>
      </c>
      <c r="I587" t="s">
        <v>610</v>
      </c>
      <c r="J587" t="s">
        <v>83</v>
      </c>
      <c r="K587" t="s">
        <v>84</v>
      </c>
      <c r="L587" s="1">
        <v>45717</v>
      </c>
      <c r="M587">
        <v>6.1012658227848099E-2</v>
      </c>
      <c r="N587">
        <v>3.1384856806590799E-4</v>
      </c>
    </row>
    <row r="588" spans="1:14" x14ac:dyDescent="0.25">
      <c r="A588" t="s">
        <v>611</v>
      </c>
      <c r="B588">
        <v>6967</v>
      </c>
      <c r="C588">
        <v>3257</v>
      </c>
      <c r="D588">
        <v>17</v>
      </c>
      <c r="E588" t="s">
        <v>40</v>
      </c>
      <c r="F588" t="s">
        <v>91</v>
      </c>
      <c r="G588" t="s">
        <v>57</v>
      </c>
      <c r="H588" s="1">
        <v>44920</v>
      </c>
      <c r="I588" t="s">
        <v>612</v>
      </c>
      <c r="J588" t="s">
        <v>83</v>
      </c>
      <c r="K588" t="s">
        <v>90</v>
      </c>
      <c r="L588" s="1">
        <v>44896</v>
      </c>
      <c r="M588">
        <v>0.46748959379934002</v>
      </c>
      <c r="N588">
        <v>1.33385641428011E-3</v>
      </c>
    </row>
    <row r="589" spans="1:14" x14ac:dyDescent="0.25">
      <c r="A589" t="s">
        <v>611</v>
      </c>
      <c r="B589">
        <v>1091</v>
      </c>
      <c r="C589">
        <v>277</v>
      </c>
      <c r="D589">
        <v>6</v>
      </c>
      <c r="E589" t="s">
        <v>28</v>
      </c>
      <c r="F589" t="s">
        <v>56</v>
      </c>
      <c r="G589" t="s">
        <v>57</v>
      </c>
      <c r="H589" s="1">
        <v>44920</v>
      </c>
      <c r="I589" t="s">
        <v>612</v>
      </c>
      <c r="J589" t="s">
        <v>83</v>
      </c>
      <c r="K589" t="s">
        <v>90</v>
      </c>
      <c r="L589" s="1">
        <v>44896</v>
      </c>
      <c r="M589">
        <v>0.25389550870760802</v>
      </c>
      <c r="N589">
        <v>4.7077285209886201E-4</v>
      </c>
    </row>
    <row r="590" spans="1:14" x14ac:dyDescent="0.25">
      <c r="A590" t="s">
        <v>611</v>
      </c>
      <c r="B590">
        <v>6027</v>
      </c>
      <c r="C590">
        <v>1530</v>
      </c>
      <c r="D590">
        <v>2</v>
      </c>
      <c r="E590" t="s">
        <v>28</v>
      </c>
      <c r="F590" t="s">
        <v>68</v>
      </c>
      <c r="G590" t="s">
        <v>42</v>
      </c>
      <c r="H590" s="1">
        <v>44920</v>
      </c>
      <c r="I590" t="s">
        <v>612</v>
      </c>
      <c r="J590" t="s">
        <v>83</v>
      </c>
      <c r="K590" t="s">
        <v>90</v>
      </c>
      <c r="L590" s="1">
        <v>44896</v>
      </c>
      <c r="M590">
        <v>0.25385764061722199</v>
      </c>
      <c r="N590">
        <v>1.5692428403295399E-4</v>
      </c>
    </row>
    <row r="591" spans="1:14" x14ac:dyDescent="0.25">
      <c r="A591" t="s">
        <v>613</v>
      </c>
      <c r="B591">
        <v>4852</v>
      </c>
      <c r="C591">
        <v>218</v>
      </c>
      <c r="D591">
        <v>2</v>
      </c>
      <c r="E591" t="s">
        <v>40</v>
      </c>
      <c r="F591" t="s">
        <v>41</v>
      </c>
      <c r="G591" t="s">
        <v>36</v>
      </c>
      <c r="H591" s="1">
        <v>45406</v>
      </c>
      <c r="I591" t="s">
        <v>614</v>
      </c>
      <c r="J591" t="s">
        <v>63</v>
      </c>
      <c r="K591" t="s">
        <v>64</v>
      </c>
      <c r="L591" s="1">
        <v>45383</v>
      </c>
      <c r="M591">
        <v>4.4929925803792202E-2</v>
      </c>
      <c r="N591">
        <v>1.5692428403295399E-4</v>
      </c>
    </row>
    <row r="592" spans="1:14" x14ac:dyDescent="0.25">
      <c r="A592" t="s">
        <v>613</v>
      </c>
      <c r="B592">
        <v>4852</v>
      </c>
      <c r="C592">
        <v>218</v>
      </c>
      <c r="D592">
        <v>2</v>
      </c>
      <c r="E592" t="s">
        <v>40</v>
      </c>
      <c r="F592" t="s">
        <v>41</v>
      </c>
      <c r="G592" t="s">
        <v>36</v>
      </c>
      <c r="H592" s="1">
        <v>44554</v>
      </c>
      <c r="I592" t="s">
        <v>615</v>
      </c>
      <c r="J592" t="s">
        <v>18</v>
      </c>
      <c r="K592" t="s">
        <v>122</v>
      </c>
      <c r="L592" s="1">
        <v>44531</v>
      </c>
      <c r="M592">
        <v>4.4929925803792202E-2</v>
      </c>
      <c r="N592">
        <v>1.5692428403295399E-4</v>
      </c>
    </row>
    <row r="593" spans="1:14" x14ac:dyDescent="0.25">
      <c r="A593" t="s">
        <v>613</v>
      </c>
      <c r="B593">
        <v>4852</v>
      </c>
      <c r="C593">
        <v>218</v>
      </c>
      <c r="D593">
        <v>2</v>
      </c>
      <c r="E593" t="s">
        <v>40</v>
      </c>
      <c r="F593" t="s">
        <v>41</v>
      </c>
      <c r="G593" t="s">
        <v>36</v>
      </c>
      <c r="H593" s="1">
        <v>45176</v>
      </c>
      <c r="I593" t="s">
        <v>616</v>
      </c>
      <c r="J593" t="s">
        <v>21</v>
      </c>
      <c r="K593" t="s">
        <v>55</v>
      </c>
      <c r="L593" s="1">
        <v>45170</v>
      </c>
      <c r="M593">
        <v>4.4929925803792202E-2</v>
      </c>
      <c r="N593">
        <v>1.5692428403295399E-4</v>
      </c>
    </row>
    <row r="594" spans="1:14" x14ac:dyDescent="0.25">
      <c r="A594" t="s">
        <v>617</v>
      </c>
      <c r="B594">
        <v>4314</v>
      </c>
      <c r="C594">
        <v>1453</v>
      </c>
      <c r="D594">
        <v>6</v>
      </c>
      <c r="E594" t="s">
        <v>40</v>
      </c>
      <c r="F594" t="s">
        <v>52</v>
      </c>
      <c r="G594" t="s">
        <v>57</v>
      </c>
      <c r="H594" s="1">
        <v>44418</v>
      </c>
      <c r="I594" t="s">
        <v>618</v>
      </c>
      <c r="J594" t="s">
        <v>18</v>
      </c>
      <c r="K594" t="s">
        <v>122</v>
      </c>
      <c r="L594" s="1">
        <v>44409</v>
      </c>
      <c r="M594">
        <v>0.33681038479369502</v>
      </c>
      <c r="N594">
        <v>4.7077285209886201E-4</v>
      </c>
    </row>
    <row r="595" spans="1:14" x14ac:dyDescent="0.25">
      <c r="A595" t="s">
        <v>619</v>
      </c>
      <c r="B595">
        <v>3288</v>
      </c>
      <c r="C595">
        <v>1477</v>
      </c>
      <c r="D595">
        <v>3</v>
      </c>
      <c r="E595" t="s">
        <v>28</v>
      </c>
      <c r="F595" t="s">
        <v>29</v>
      </c>
      <c r="G595" t="s">
        <v>36</v>
      </c>
      <c r="H595" s="1">
        <v>45438</v>
      </c>
      <c r="I595" t="s">
        <v>620</v>
      </c>
      <c r="J595" t="s">
        <v>63</v>
      </c>
      <c r="K595" t="s">
        <v>75</v>
      </c>
      <c r="L595" s="1">
        <v>45413</v>
      </c>
      <c r="M595">
        <v>0.44920924574209198</v>
      </c>
      <c r="N595">
        <v>2.35386426049431E-4</v>
      </c>
    </row>
    <row r="596" spans="1:14" x14ac:dyDescent="0.25">
      <c r="A596" t="s">
        <v>619</v>
      </c>
      <c r="B596">
        <v>3288</v>
      </c>
      <c r="C596">
        <v>1477</v>
      </c>
      <c r="D596">
        <v>3</v>
      </c>
      <c r="E596" t="s">
        <v>28</v>
      </c>
      <c r="F596" t="s">
        <v>29</v>
      </c>
      <c r="G596" t="s">
        <v>36</v>
      </c>
      <c r="H596" s="1">
        <v>44611</v>
      </c>
      <c r="I596" t="s">
        <v>621</v>
      </c>
      <c r="J596" t="s">
        <v>21</v>
      </c>
      <c r="K596" t="s">
        <v>55</v>
      </c>
      <c r="L596" s="1">
        <v>44593</v>
      </c>
      <c r="M596">
        <v>0.44920924574209198</v>
      </c>
      <c r="N596">
        <v>2.35386426049431E-4</v>
      </c>
    </row>
    <row r="597" spans="1:14" x14ac:dyDescent="0.25">
      <c r="A597" t="s">
        <v>622</v>
      </c>
      <c r="B597">
        <v>3977</v>
      </c>
      <c r="C597">
        <v>813</v>
      </c>
      <c r="D597">
        <v>5</v>
      </c>
      <c r="E597" t="s">
        <v>28</v>
      </c>
      <c r="F597" t="s">
        <v>68</v>
      </c>
      <c r="G597" t="s">
        <v>42</v>
      </c>
      <c r="H597" s="1">
        <v>45635</v>
      </c>
      <c r="I597" t="s">
        <v>623</v>
      </c>
      <c r="J597" t="s">
        <v>24</v>
      </c>
      <c r="K597" t="s">
        <v>46</v>
      </c>
      <c r="L597" s="1">
        <v>45627</v>
      </c>
      <c r="M597">
        <v>0.20442544631631901</v>
      </c>
      <c r="N597">
        <v>3.9231071008238503E-4</v>
      </c>
    </row>
    <row r="598" spans="1:14" x14ac:dyDescent="0.25">
      <c r="A598" t="s">
        <v>624</v>
      </c>
      <c r="B598">
        <v>6252</v>
      </c>
      <c r="C598">
        <v>1377</v>
      </c>
      <c r="D598">
        <v>2</v>
      </c>
      <c r="E598" t="s">
        <v>14</v>
      </c>
      <c r="F598" t="s">
        <v>26</v>
      </c>
      <c r="G598" t="s">
        <v>36</v>
      </c>
      <c r="H598" s="1">
        <v>45078</v>
      </c>
      <c r="I598" t="s">
        <v>625</v>
      </c>
      <c r="J598" t="s">
        <v>21</v>
      </c>
      <c r="K598" t="s">
        <v>22</v>
      </c>
      <c r="L598" s="1">
        <v>45078</v>
      </c>
      <c r="M598">
        <v>0.22024952015355101</v>
      </c>
      <c r="N598">
        <v>1.5692428403295399E-4</v>
      </c>
    </row>
    <row r="599" spans="1:14" x14ac:dyDescent="0.25">
      <c r="A599" t="s">
        <v>626</v>
      </c>
      <c r="B599">
        <v>9084</v>
      </c>
      <c r="C599">
        <v>3253</v>
      </c>
      <c r="D599">
        <v>12</v>
      </c>
      <c r="E599" t="s">
        <v>28</v>
      </c>
      <c r="F599" t="s">
        <v>29</v>
      </c>
      <c r="G599" t="s">
        <v>30</v>
      </c>
      <c r="H599" s="1">
        <v>45235</v>
      </c>
      <c r="I599" t="s">
        <v>627</v>
      </c>
      <c r="J599" t="s">
        <v>24</v>
      </c>
      <c r="K599" t="s">
        <v>25</v>
      </c>
      <c r="L599" s="1">
        <v>45231</v>
      </c>
      <c r="M599">
        <v>0.35810215763980602</v>
      </c>
      <c r="N599">
        <v>9.4154570419772402E-4</v>
      </c>
    </row>
    <row r="600" spans="1:14" x14ac:dyDescent="0.25">
      <c r="A600" t="s">
        <v>628</v>
      </c>
      <c r="B600">
        <v>8994</v>
      </c>
      <c r="C600">
        <v>1481</v>
      </c>
      <c r="D600">
        <v>15</v>
      </c>
      <c r="E600" t="s">
        <v>14</v>
      </c>
      <c r="F600" t="s">
        <v>71</v>
      </c>
      <c r="G600" t="s">
        <v>42</v>
      </c>
      <c r="H600" s="1">
        <v>44003</v>
      </c>
      <c r="I600" t="s">
        <v>629</v>
      </c>
      <c r="J600" t="s">
        <v>38</v>
      </c>
      <c r="K600" t="s">
        <v>66</v>
      </c>
      <c r="L600" s="1">
        <v>43983</v>
      </c>
      <c r="M600">
        <v>0.16466533244385101</v>
      </c>
      <c r="N600">
        <v>1.17693213024716E-3</v>
      </c>
    </row>
    <row r="601" spans="1:14" x14ac:dyDescent="0.25">
      <c r="A601" t="s">
        <v>630</v>
      </c>
      <c r="B601">
        <v>1089</v>
      </c>
      <c r="C601">
        <v>176</v>
      </c>
      <c r="D601">
        <v>16</v>
      </c>
      <c r="E601" t="s">
        <v>28</v>
      </c>
      <c r="F601" t="s">
        <v>50</v>
      </c>
      <c r="G601" t="s">
        <v>36</v>
      </c>
      <c r="H601" s="1">
        <v>44130</v>
      </c>
      <c r="I601" t="s">
        <v>631</v>
      </c>
      <c r="J601" t="s">
        <v>63</v>
      </c>
      <c r="K601" t="s">
        <v>64</v>
      </c>
      <c r="L601" s="1">
        <v>44105</v>
      </c>
      <c r="M601">
        <v>0.16161616161616199</v>
      </c>
      <c r="N601">
        <v>1.25539427226363E-3</v>
      </c>
    </row>
    <row r="602" spans="1:14" x14ac:dyDescent="0.25">
      <c r="A602" t="s">
        <v>632</v>
      </c>
      <c r="B602">
        <v>6690</v>
      </c>
      <c r="C602">
        <v>1001</v>
      </c>
      <c r="D602">
        <v>19</v>
      </c>
      <c r="E602" t="s">
        <v>28</v>
      </c>
      <c r="F602" t="s">
        <v>68</v>
      </c>
      <c r="G602" t="s">
        <v>16</v>
      </c>
      <c r="H602" s="1">
        <v>44718</v>
      </c>
      <c r="I602" t="s">
        <v>633</v>
      </c>
      <c r="J602" t="s">
        <v>21</v>
      </c>
      <c r="K602" t="s">
        <v>55</v>
      </c>
      <c r="L602" s="1">
        <v>44713</v>
      </c>
      <c r="M602">
        <v>0.14962630792227199</v>
      </c>
      <c r="N602">
        <v>1.4907806983130601E-3</v>
      </c>
    </row>
    <row r="603" spans="1:14" x14ac:dyDescent="0.25">
      <c r="A603" t="s">
        <v>632</v>
      </c>
      <c r="B603">
        <v>6690</v>
      </c>
      <c r="C603">
        <v>1001</v>
      </c>
      <c r="D603">
        <v>19</v>
      </c>
      <c r="E603" t="s">
        <v>28</v>
      </c>
      <c r="F603" t="s">
        <v>68</v>
      </c>
      <c r="G603" t="s">
        <v>16</v>
      </c>
      <c r="H603" s="1">
        <v>44513</v>
      </c>
      <c r="I603" t="s">
        <v>634</v>
      </c>
      <c r="J603" t="s">
        <v>21</v>
      </c>
      <c r="K603" t="s">
        <v>22</v>
      </c>
      <c r="L603" s="1">
        <v>44501</v>
      </c>
      <c r="M603">
        <v>0.14962630792227199</v>
      </c>
      <c r="N603">
        <v>1.4907806983130601E-3</v>
      </c>
    </row>
    <row r="604" spans="1:14" x14ac:dyDescent="0.25">
      <c r="A604" t="s">
        <v>632</v>
      </c>
      <c r="B604">
        <v>4985</v>
      </c>
      <c r="C604">
        <v>1920</v>
      </c>
      <c r="D604">
        <v>10</v>
      </c>
      <c r="E604" t="s">
        <v>40</v>
      </c>
      <c r="F604" t="s">
        <v>91</v>
      </c>
      <c r="G604" t="s">
        <v>42</v>
      </c>
      <c r="H604" s="1">
        <v>44718</v>
      </c>
      <c r="I604" t="s">
        <v>633</v>
      </c>
      <c r="J604" t="s">
        <v>21</v>
      </c>
      <c r="K604" t="s">
        <v>55</v>
      </c>
      <c r="L604" s="1">
        <v>44713</v>
      </c>
      <c r="M604">
        <v>0.38515546639919801</v>
      </c>
      <c r="N604">
        <v>7.8462142016477005E-4</v>
      </c>
    </row>
    <row r="605" spans="1:14" x14ac:dyDescent="0.25">
      <c r="A605" t="s">
        <v>632</v>
      </c>
      <c r="B605">
        <v>4985</v>
      </c>
      <c r="C605">
        <v>1920</v>
      </c>
      <c r="D605">
        <v>10</v>
      </c>
      <c r="E605" t="s">
        <v>40</v>
      </c>
      <c r="F605" t="s">
        <v>91</v>
      </c>
      <c r="G605" t="s">
        <v>42</v>
      </c>
      <c r="H605" s="1">
        <v>44513</v>
      </c>
      <c r="I605" t="s">
        <v>634</v>
      </c>
      <c r="J605" t="s">
        <v>21</v>
      </c>
      <c r="K605" t="s">
        <v>22</v>
      </c>
      <c r="L605" s="1">
        <v>44501</v>
      </c>
      <c r="M605">
        <v>0.38515546639919801</v>
      </c>
      <c r="N605">
        <v>7.8462142016477005E-4</v>
      </c>
    </row>
    <row r="606" spans="1:14" x14ac:dyDescent="0.25">
      <c r="A606" t="s">
        <v>635</v>
      </c>
      <c r="B606">
        <v>8590</v>
      </c>
      <c r="C606">
        <v>3565</v>
      </c>
      <c r="D606">
        <v>15</v>
      </c>
      <c r="E606" t="s">
        <v>14</v>
      </c>
      <c r="F606" t="s">
        <v>15</v>
      </c>
      <c r="G606" t="s">
        <v>36</v>
      </c>
      <c r="H606" s="1">
        <v>44511</v>
      </c>
      <c r="I606" t="s">
        <v>636</v>
      </c>
      <c r="J606" t="s">
        <v>18</v>
      </c>
      <c r="K606" t="s">
        <v>19</v>
      </c>
      <c r="L606" s="1">
        <v>44501</v>
      </c>
      <c r="M606">
        <v>0.41501746216530799</v>
      </c>
      <c r="N606">
        <v>1.17693213024716E-3</v>
      </c>
    </row>
    <row r="607" spans="1:14" x14ac:dyDescent="0.25">
      <c r="A607" t="s">
        <v>635</v>
      </c>
      <c r="B607">
        <v>6973</v>
      </c>
      <c r="C607">
        <v>3038</v>
      </c>
      <c r="D607">
        <v>10</v>
      </c>
      <c r="E607" t="s">
        <v>40</v>
      </c>
      <c r="F607" t="s">
        <v>41</v>
      </c>
      <c r="G607" t="s">
        <v>57</v>
      </c>
      <c r="H607" s="1">
        <v>44511</v>
      </c>
      <c r="I607" t="s">
        <v>636</v>
      </c>
      <c r="J607" t="s">
        <v>18</v>
      </c>
      <c r="K607" t="s">
        <v>19</v>
      </c>
      <c r="L607" s="1">
        <v>44501</v>
      </c>
      <c r="M607">
        <v>0.43568048185859698</v>
      </c>
      <c r="N607">
        <v>7.8462142016477005E-4</v>
      </c>
    </row>
    <row r="608" spans="1:14" x14ac:dyDescent="0.25">
      <c r="A608" t="s">
        <v>637</v>
      </c>
      <c r="B608">
        <v>4591</v>
      </c>
      <c r="C608">
        <v>1941</v>
      </c>
      <c r="D608">
        <v>19</v>
      </c>
      <c r="E608" t="s">
        <v>14</v>
      </c>
      <c r="F608" t="s">
        <v>26</v>
      </c>
      <c r="G608" t="s">
        <v>36</v>
      </c>
      <c r="H608" s="1">
        <v>44408</v>
      </c>
      <c r="I608" t="s">
        <v>416</v>
      </c>
      <c r="J608" t="s">
        <v>63</v>
      </c>
      <c r="K608" t="s">
        <v>64</v>
      </c>
      <c r="L608" s="1">
        <v>44378</v>
      </c>
      <c r="M608">
        <v>0.42278370725332198</v>
      </c>
      <c r="N608">
        <v>1.4907806983130601E-3</v>
      </c>
    </row>
    <row r="609" spans="1:14" x14ac:dyDescent="0.25">
      <c r="A609" t="s">
        <v>637</v>
      </c>
      <c r="B609">
        <v>9612</v>
      </c>
      <c r="C609">
        <v>2572</v>
      </c>
      <c r="D609">
        <v>17</v>
      </c>
      <c r="E609" t="s">
        <v>28</v>
      </c>
      <c r="F609" t="s">
        <v>29</v>
      </c>
      <c r="G609" t="s">
        <v>42</v>
      </c>
      <c r="H609" s="1">
        <v>44408</v>
      </c>
      <c r="I609" t="s">
        <v>416</v>
      </c>
      <c r="J609" t="s">
        <v>63</v>
      </c>
      <c r="K609" t="s">
        <v>64</v>
      </c>
      <c r="L609" s="1">
        <v>44378</v>
      </c>
      <c r="M609">
        <v>0.26758218893050401</v>
      </c>
      <c r="N609">
        <v>1.33385641428011E-3</v>
      </c>
    </row>
    <row r="610" spans="1:14" x14ac:dyDescent="0.25">
      <c r="A610" t="s">
        <v>638</v>
      </c>
      <c r="B610">
        <v>5343</v>
      </c>
      <c r="C610">
        <v>655</v>
      </c>
      <c r="D610">
        <v>1</v>
      </c>
      <c r="E610" t="s">
        <v>40</v>
      </c>
      <c r="F610" t="s">
        <v>44</v>
      </c>
      <c r="G610" t="s">
        <v>36</v>
      </c>
      <c r="H610" s="1">
        <v>45395</v>
      </c>
      <c r="I610" t="s">
        <v>639</v>
      </c>
      <c r="J610" t="s">
        <v>38</v>
      </c>
      <c r="K610" t="s">
        <v>66</v>
      </c>
      <c r="L610" s="1">
        <v>45383</v>
      </c>
      <c r="M610">
        <v>0.122590305072057</v>
      </c>
      <c r="N610">
        <v>7.8462142016476997E-5</v>
      </c>
    </row>
    <row r="611" spans="1:14" x14ac:dyDescent="0.25">
      <c r="A611" t="s">
        <v>640</v>
      </c>
      <c r="B611">
        <v>6956</v>
      </c>
      <c r="C611">
        <v>318</v>
      </c>
      <c r="D611">
        <v>20</v>
      </c>
      <c r="E611" t="s">
        <v>28</v>
      </c>
      <c r="F611" t="s">
        <v>50</v>
      </c>
      <c r="G611" t="s">
        <v>30</v>
      </c>
      <c r="H611" s="1">
        <v>44670</v>
      </c>
      <c r="I611" t="s">
        <v>641</v>
      </c>
      <c r="J611" t="s">
        <v>21</v>
      </c>
      <c r="K611" t="s">
        <v>55</v>
      </c>
      <c r="L611" s="1">
        <v>44652</v>
      </c>
      <c r="M611">
        <v>4.5715928694652103E-2</v>
      </c>
      <c r="N611">
        <v>1.5692428403295401E-3</v>
      </c>
    </row>
    <row r="612" spans="1:14" x14ac:dyDescent="0.25">
      <c r="A612" t="s">
        <v>642</v>
      </c>
      <c r="B612">
        <v>5306</v>
      </c>
      <c r="C612">
        <v>2405</v>
      </c>
      <c r="D612">
        <v>17</v>
      </c>
      <c r="E612" t="s">
        <v>40</v>
      </c>
      <c r="F612" t="s">
        <v>41</v>
      </c>
      <c r="G612" t="s">
        <v>36</v>
      </c>
      <c r="H612" s="1">
        <v>45374</v>
      </c>
      <c r="I612" t="s">
        <v>643</v>
      </c>
      <c r="J612" t="s">
        <v>24</v>
      </c>
      <c r="K612" t="s">
        <v>25</v>
      </c>
      <c r="L612" s="1">
        <v>45352</v>
      </c>
      <c r="M612">
        <v>0.453260459856766</v>
      </c>
      <c r="N612">
        <v>1.33385641428011E-3</v>
      </c>
    </row>
    <row r="613" spans="1:14" x14ac:dyDescent="0.25">
      <c r="A613" t="s">
        <v>644</v>
      </c>
      <c r="B613">
        <v>8982</v>
      </c>
      <c r="C613">
        <v>448</v>
      </c>
      <c r="D613">
        <v>17</v>
      </c>
      <c r="E613" t="s">
        <v>40</v>
      </c>
      <c r="F613" t="s">
        <v>52</v>
      </c>
      <c r="G613" t="s">
        <v>16</v>
      </c>
      <c r="H613" s="1">
        <v>44323</v>
      </c>
      <c r="I613" t="s">
        <v>645</v>
      </c>
      <c r="J613" t="s">
        <v>24</v>
      </c>
      <c r="K613" t="s">
        <v>46</v>
      </c>
      <c r="L613" s="1">
        <v>44317</v>
      </c>
      <c r="M613">
        <v>4.9877532843464703E-2</v>
      </c>
      <c r="N613">
        <v>1.33385641428011E-3</v>
      </c>
    </row>
    <row r="614" spans="1:14" x14ac:dyDescent="0.25">
      <c r="A614" t="s">
        <v>644</v>
      </c>
      <c r="B614">
        <v>4826</v>
      </c>
      <c r="C614">
        <v>562</v>
      </c>
      <c r="D614">
        <v>5</v>
      </c>
      <c r="E614" t="s">
        <v>28</v>
      </c>
      <c r="F614" t="s">
        <v>56</v>
      </c>
      <c r="G614" t="s">
        <v>30</v>
      </c>
      <c r="H614" s="1">
        <v>44323</v>
      </c>
      <c r="I614" t="s">
        <v>645</v>
      </c>
      <c r="J614" t="s">
        <v>24</v>
      </c>
      <c r="K614" t="s">
        <v>46</v>
      </c>
      <c r="L614" s="1">
        <v>44317</v>
      </c>
      <c r="M614">
        <v>0.116452548694571</v>
      </c>
      <c r="N614">
        <v>3.9231071008238503E-4</v>
      </c>
    </row>
    <row r="615" spans="1:14" x14ac:dyDescent="0.25">
      <c r="A615" t="s">
        <v>646</v>
      </c>
      <c r="B615">
        <v>972</v>
      </c>
      <c r="C615">
        <v>106</v>
      </c>
      <c r="D615">
        <v>15</v>
      </c>
      <c r="E615" t="s">
        <v>28</v>
      </c>
      <c r="F615" t="s">
        <v>29</v>
      </c>
      <c r="G615" t="s">
        <v>36</v>
      </c>
      <c r="H615" s="1">
        <v>44687</v>
      </c>
      <c r="I615" t="s">
        <v>647</v>
      </c>
      <c r="J615" t="s">
        <v>83</v>
      </c>
      <c r="K615" t="s">
        <v>90</v>
      </c>
      <c r="L615" s="1">
        <v>44682</v>
      </c>
      <c r="M615">
        <v>0.109053497942387</v>
      </c>
      <c r="N615">
        <v>1.17693213024716E-3</v>
      </c>
    </row>
    <row r="616" spans="1:14" x14ac:dyDescent="0.25">
      <c r="A616" t="s">
        <v>648</v>
      </c>
      <c r="B616">
        <v>3665</v>
      </c>
      <c r="C616">
        <v>802</v>
      </c>
      <c r="D616">
        <v>4</v>
      </c>
      <c r="E616" t="s">
        <v>28</v>
      </c>
      <c r="F616" t="s">
        <v>50</v>
      </c>
      <c r="G616" t="s">
        <v>42</v>
      </c>
      <c r="H616" s="1">
        <v>44417</v>
      </c>
      <c r="I616" t="s">
        <v>649</v>
      </c>
      <c r="J616" t="s">
        <v>18</v>
      </c>
      <c r="K616" t="s">
        <v>19</v>
      </c>
      <c r="L616" s="1">
        <v>44409</v>
      </c>
      <c r="M616">
        <v>0.218826739427012</v>
      </c>
      <c r="N616">
        <v>3.1384856806590799E-4</v>
      </c>
    </row>
    <row r="617" spans="1:14" x14ac:dyDescent="0.25">
      <c r="A617" t="s">
        <v>648</v>
      </c>
      <c r="B617">
        <v>3665</v>
      </c>
      <c r="C617">
        <v>802</v>
      </c>
      <c r="D617">
        <v>4</v>
      </c>
      <c r="E617" t="s">
        <v>28</v>
      </c>
      <c r="F617" t="s">
        <v>50</v>
      </c>
      <c r="G617" t="s">
        <v>42</v>
      </c>
      <c r="H617" s="1">
        <v>45697</v>
      </c>
      <c r="I617" t="s">
        <v>650</v>
      </c>
      <c r="J617" t="s">
        <v>18</v>
      </c>
      <c r="K617" t="s">
        <v>122</v>
      </c>
      <c r="L617" s="1">
        <v>45689</v>
      </c>
      <c r="M617">
        <v>0.218826739427012</v>
      </c>
      <c r="N617">
        <v>3.1384856806590799E-4</v>
      </c>
    </row>
    <row r="618" spans="1:14" x14ac:dyDescent="0.25">
      <c r="A618" t="s">
        <v>651</v>
      </c>
      <c r="B618">
        <v>9808</v>
      </c>
      <c r="C618">
        <v>2117</v>
      </c>
      <c r="D618">
        <v>2</v>
      </c>
      <c r="E618" t="s">
        <v>28</v>
      </c>
      <c r="F618" t="s">
        <v>29</v>
      </c>
      <c r="G618" t="s">
        <v>16</v>
      </c>
      <c r="H618" s="1">
        <v>45405</v>
      </c>
      <c r="I618" t="s">
        <v>652</v>
      </c>
      <c r="J618" t="s">
        <v>38</v>
      </c>
      <c r="K618" t="s">
        <v>39</v>
      </c>
      <c r="L618" s="1">
        <v>45383</v>
      </c>
      <c r="M618">
        <v>0.21584420880913499</v>
      </c>
      <c r="N618">
        <v>1.5692428403295399E-4</v>
      </c>
    </row>
    <row r="619" spans="1:14" x14ac:dyDescent="0.25">
      <c r="A619" t="s">
        <v>653</v>
      </c>
      <c r="B619">
        <v>1133</v>
      </c>
      <c r="C619">
        <v>73</v>
      </c>
      <c r="D619">
        <v>17</v>
      </c>
      <c r="E619" t="s">
        <v>40</v>
      </c>
      <c r="F619" t="s">
        <v>44</v>
      </c>
      <c r="G619" t="s">
        <v>16</v>
      </c>
      <c r="H619" s="1">
        <v>44980</v>
      </c>
      <c r="I619" t="s">
        <v>654</v>
      </c>
      <c r="J619" t="s">
        <v>83</v>
      </c>
      <c r="K619" t="s">
        <v>98</v>
      </c>
      <c r="L619" s="1">
        <v>44958</v>
      </c>
      <c r="M619">
        <v>6.4430714916151793E-2</v>
      </c>
      <c r="N619">
        <v>1.33385641428011E-3</v>
      </c>
    </row>
    <row r="620" spans="1:14" x14ac:dyDescent="0.25">
      <c r="A620" t="s">
        <v>653</v>
      </c>
      <c r="B620">
        <v>1133</v>
      </c>
      <c r="C620">
        <v>73</v>
      </c>
      <c r="D620">
        <v>17</v>
      </c>
      <c r="E620" t="s">
        <v>40</v>
      </c>
      <c r="F620" t="s">
        <v>44</v>
      </c>
      <c r="G620" t="s">
        <v>16</v>
      </c>
      <c r="H620" s="1">
        <v>45449</v>
      </c>
      <c r="I620" t="s">
        <v>655</v>
      </c>
      <c r="J620" t="s">
        <v>38</v>
      </c>
      <c r="K620" t="s">
        <v>66</v>
      </c>
      <c r="L620" s="1">
        <v>45444</v>
      </c>
      <c r="M620">
        <v>6.4430714916151793E-2</v>
      </c>
      <c r="N620">
        <v>1.33385641428011E-3</v>
      </c>
    </row>
    <row r="621" spans="1:14" x14ac:dyDescent="0.25">
      <c r="A621" t="s">
        <v>653</v>
      </c>
      <c r="B621">
        <v>6248</v>
      </c>
      <c r="C621">
        <v>1168</v>
      </c>
      <c r="D621">
        <v>19</v>
      </c>
      <c r="E621" t="s">
        <v>40</v>
      </c>
      <c r="F621" t="s">
        <v>91</v>
      </c>
      <c r="G621" t="s">
        <v>57</v>
      </c>
      <c r="H621" s="1">
        <v>44980</v>
      </c>
      <c r="I621" t="s">
        <v>654</v>
      </c>
      <c r="J621" t="s">
        <v>83</v>
      </c>
      <c r="K621" t="s">
        <v>98</v>
      </c>
      <c r="L621" s="1">
        <v>44958</v>
      </c>
      <c r="M621">
        <v>0.18693982074263801</v>
      </c>
      <c r="N621">
        <v>1.4907806983130601E-3</v>
      </c>
    </row>
    <row r="622" spans="1:14" x14ac:dyDescent="0.25">
      <c r="A622" t="s">
        <v>653</v>
      </c>
      <c r="B622">
        <v>6248</v>
      </c>
      <c r="C622">
        <v>1168</v>
      </c>
      <c r="D622">
        <v>19</v>
      </c>
      <c r="E622" t="s">
        <v>40</v>
      </c>
      <c r="F622" t="s">
        <v>91</v>
      </c>
      <c r="G622" t="s">
        <v>57</v>
      </c>
      <c r="H622" s="1">
        <v>45449</v>
      </c>
      <c r="I622" t="s">
        <v>655</v>
      </c>
      <c r="J622" t="s">
        <v>38</v>
      </c>
      <c r="K622" t="s">
        <v>66</v>
      </c>
      <c r="L622" s="1">
        <v>45444</v>
      </c>
      <c r="M622">
        <v>0.18693982074263801</v>
      </c>
      <c r="N622">
        <v>1.4907806983130601E-3</v>
      </c>
    </row>
    <row r="623" spans="1:14" x14ac:dyDescent="0.25">
      <c r="A623" t="s">
        <v>656</v>
      </c>
      <c r="B623">
        <v>5666</v>
      </c>
      <c r="C623">
        <v>2733</v>
      </c>
      <c r="D623">
        <v>17</v>
      </c>
      <c r="E623" t="s">
        <v>14</v>
      </c>
      <c r="F623" t="s">
        <v>15</v>
      </c>
      <c r="G623" t="s">
        <v>42</v>
      </c>
      <c r="H623" s="1">
        <v>45684</v>
      </c>
      <c r="I623" t="s">
        <v>657</v>
      </c>
      <c r="J623" t="s">
        <v>18</v>
      </c>
      <c r="K623" t="s">
        <v>122</v>
      </c>
      <c r="L623" s="1">
        <v>45658</v>
      </c>
      <c r="M623">
        <v>0.48235086480762401</v>
      </c>
      <c r="N623">
        <v>1.33385641428011E-3</v>
      </c>
    </row>
    <row r="624" spans="1:14" x14ac:dyDescent="0.25">
      <c r="A624" t="s">
        <v>658</v>
      </c>
      <c r="B624">
        <v>4171</v>
      </c>
      <c r="C624">
        <v>1450</v>
      </c>
      <c r="D624">
        <v>18</v>
      </c>
      <c r="E624" t="s">
        <v>28</v>
      </c>
      <c r="F624" t="s">
        <v>50</v>
      </c>
      <c r="G624" t="s">
        <v>57</v>
      </c>
      <c r="H624" s="1">
        <v>45023</v>
      </c>
      <c r="I624" t="s">
        <v>659</v>
      </c>
      <c r="J624" t="s">
        <v>63</v>
      </c>
      <c r="K624" t="s">
        <v>64</v>
      </c>
      <c r="L624" s="1">
        <v>45017</v>
      </c>
      <c r="M624">
        <v>0.34763845600575399</v>
      </c>
      <c r="N624">
        <v>1.41231855629659E-3</v>
      </c>
    </row>
    <row r="625" spans="1:14" x14ac:dyDescent="0.25">
      <c r="A625" t="s">
        <v>660</v>
      </c>
      <c r="B625">
        <v>6236</v>
      </c>
      <c r="C625">
        <v>2839</v>
      </c>
      <c r="D625">
        <v>7</v>
      </c>
      <c r="E625" t="s">
        <v>14</v>
      </c>
      <c r="F625" t="s">
        <v>26</v>
      </c>
      <c r="G625" t="s">
        <v>42</v>
      </c>
      <c r="H625" s="1">
        <v>44581</v>
      </c>
      <c r="I625" t="s">
        <v>661</v>
      </c>
      <c r="J625" t="s">
        <v>21</v>
      </c>
      <c r="K625" t="s">
        <v>55</v>
      </c>
      <c r="L625" s="1">
        <v>44562</v>
      </c>
      <c r="M625">
        <v>0.45525978191148198</v>
      </c>
      <c r="N625">
        <v>5.4923499411533899E-4</v>
      </c>
    </row>
    <row r="626" spans="1:14" x14ac:dyDescent="0.25">
      <c r="A626" t="s">
        <v>660</v>
      </c>
      <c r="B626">
        <v>6236</v>
      </c>
      <c r="C626">
        <v>2839</v>
      </c>
      <c r="D626">
        <v>7</v>
      </c>
      <c r="E626" t="s">
        <v>14</v>
      </c>
      <c r="F626" t="s">
        <v>26</v>
      </c>
      <c r="G626" t="s">
        <v>42</v>
      </c>
      <c r="H626" s="1">
        <v>44691</v>
      </c>
      <c r="I626" t="s">
        <v>662</v>
      </c>
      <c r="J626" t="s">
        <v>18</v>
      </c>
      <c r="K626" t="s">
        <v>32</v>
      </c>
      <c r="L626" s="1">
        <v>44682</v>
      </c>
      <c r="M626">
        <v>0.45525978191148198</v>
      </c>
      <c r="N626">
        <v>5.4923499411533899E-4</v>
      </c>
    </row>
    <row r="627" spans="1:14" x14ac:dyDescent="0.25">
      <c r="A627" t="s">
        <v>663</v>
      </c>
      <c r="B627">
        <v>5410</v>
      </c>
      <c r="C627">
        <v>2456</v>
      </c>
      <c r="D627">
        <v>8</v>
      </c>
      <c r="E627" t="s">
        <v>40</v>
      </c>
      <c r="F627" t="s">
        <v>44</v>
      </c>
      <c r="G627" t="s">
        <v>42</v>
      </c>
      <c r="H627" s="1">
        <v>45441</v>
      </c>
      <c r="I627" t="s">
        <v>664</v>
      </c>
      <c r="J627" t="s">
        <v>38</v>
      </c>
      <c r="K627" t="s">
        <v>39</v>
      </c>
      <c r="L627" s="1">
        <v>45413</v>
      </c>
      <c r="M627">
        <v>0.45397412199630299</v>
      </c>
      <c r="N627">
        <v>6.2769713613181597E-4</v>
      </c>
    </row>
    <row r="628" spans="1:14" x14ac:dyDescent="0.25">
      <c r="A628" t="s">
        <v>663</v>
      </c>
      <c r="B628">
        <v>5410</v>
      </c>
      <c r="C628">
        <v>2456</v>
      </c>
      <c r="D628">
        <v>8</v>
      </c>
      <c r="E628" t="s">
        <v>40</v>
      </c>
      <c r="F628" t="s">
        <v>44</v>
      </c>
      <c r="G628" t="s">
        <v>42</v>
      </c>
      <c r="H628" s="1">
        <v>44565</v>
      </c>
      <c r="I628" t="s">
        <v>665</v>
      </c>
      <c r="J628" t="s">
        <v>18</v>
      </c>
      <c r="K628" t="s">
        <v>122</v>
      </c>
      <c r="L628" s="1">
        <v>44562</v>
      </c>
      <c r="M628">
        <v>0.45397412199630299</v>
      </c>
      <c r="N628">
        <v>6.2769713613181597E-4</v>
      </c>
    </row>
    <row r="629" spans="1:14" x14ac:dyDescent="0.25">
      <c r="A629" t="s">
        <v>666</v>
      </c>
      <c r="B629">
        <v>3024</v>
      </c>
      <c r="C629">
        <v>1353</v>
      </c>
      <c r="D629">
        <v>1</v>
      </c>
      <c r="E629" t="s">
        <v>40</v>
      </c>
      <c r="F629" t="s">
        <v>52</v>
      </c>
      <c r="G629" t="s">
        <v>42</v>
      </c>
      <c r="H629" s="1">
        <v>45414</v>
      </c>
      <c r="I629" t="s">
        <v>667</v>
      </c>
      <c r="J629" t="s">
        <v>38</v>
      </c>
      <c r="K629" t="s">
        <v>39</v>
      </c>
      <c r="L629" s="1">
        <v>45413</v>
      </c>
      <c r="M629">
        <v>0.447420634920635</v>
      </c>
      <c r="N629">
        <v>7.8462142016476997E-5</v>
      </c>
    </row>
    <row r="630" spans="1:14" x14ac:dyDescent="0.25">
      <c r="A630" t="s">
        <v>666</v>
      </c>
      <c r="B630">
        <v>3024</v>
      </c>
      <c r="C630">
        <v>1353</v>
      </c>
      <c r="D630">
        <v>1</v>
      </c>
      <c r="E630" t="s">
        <v>40</v>
      </c>
      <c r="F630" t="s">
        <v>52</v>
      </c>
      <c r="G630" t="s">
        <v>42</v>
      </c>
      <c r="H630" s="1">
        <v>44558</v>
      </c>
      <c r="I630" t="s">
        <v>668</v>
      </c>
      <c r="J630" t="s">
        <v>83</v>
      </c>
      <c r="K630" t="s">
        <v>84</v>
      </c>
      <c r="L630" s="1">
        <v>44531</v>
      </c>
      <c r="M630">
        <v>0.447420634920635</v>
      </c>
      <c r="N630">
        <v>7.8462142016476997E-5</v>
      </c>
    </row>
    <row r="631" spans="1:14" x14ac:dyDescent="0.25">
      <c r="A631" t="s">
        <v>669</v>
      </c>
      <c r="B631">
        <v>7434</v>
      </c>
      <c r="C631">
        <v>2851</v>
      </c>
      <c r="D631">
        <v>5</v>
      </c>
      <c r="E631" t="s">
        <v>28</v>
      </c>
      <c r="F631" t="s">
        <v>50</v>
      </c>
      <c r="G631" t="s">
        <v>16</v>
      </c>
      <c r="H631" s="1">
        <v>44907</v>
      </c>
      <c r="I631" t="s">
        <v>670</v>
      </c>
      <c r="J631" t="s">
        <v>21</v>
      </c>
      <c r="K631" t="s">
        <v>55</v>
      </c>
      <c r="L631" s="1">
        <v>44896</v>
      </c>
      <c r="M631">
        <v>0.38350820554210402</v>
      </c>
      <c r="N631">
        <v>3.9231071008238503E-4</v>
      </c>
    </row>
    <row r="632" spans="1:14" x14ac:dyDescent="0.25">
      <c r="A632" t="s">
        <v>671</v>
      </c>
      <c r="B632">
        <v>7213</v>
      </c>
      <c r="C632">
        <v>508</v>
      </c>
      <c r="D632">
        <v>19</v>
      </c>
      <c r="E632" t="s">
        <v>14</v>
      </c>
      <c r="F632" t="s">
        <v>15</v>
      </c>
      <c r="G632" t="s">
        <v>30</v>
      </c>
      <c r="H632" s="1">
        <v>45155</v>
      </c>
      <c r="I632" t="s">
        <v>672</v>
      </c>
      <c r="J632" t="s">
        <v>63</v>
      </c>
      <c r="K632" t="s">
        <v>64</v>
      </c>
      <c r="L632" s="1">
        <v>45139</v>
      </c>
      <c r="M632">
        <v>7.0428393178982404E-2</v>
      </c>
      <c r="N632">
        <v>1.4907806983130601E-3</v>
      </c>
    </row>
    <row r="633" spans="1:14" x14ac:dyDescent="0.25">
      <c r="A633" t="s">
        <v>671</v>
      </c>
      <c r="B633">
        <v>7213</v>
      </c>
      <c r="C633">
        <v>508</v>
      </c>
      <c r="D633">
        <v>19</v>
      </c>
      <c r="E633" t="s">
        <v>14</v>
      </c>
      <c r="F633" t="s">
        <v>15</v>
      </c>
      <c r="G633" t="s">
        <v>30</v>
      </c>
      <c r="H633" s="1">
        <v>44529</v>
      </c>
      <c r="I633" t="s">
        <v>673</v>
      </c>
      <c r="J633" t="s">
        <v>83</v>
      </c>
      <c r="K633" t="s">
        <v>90</v>
      </c>
      <c r="L633" s="1">
        <v>44501</v>
      </c>
      <c r="M633">
        <v>7.0428393178982404E-2</v>
      </c>
      <c r="N633">
        <v>1.4907806983130601E-3</v>
      </c>
    </row>
    <row r="634" spans="1:14" x14ac:dyDescent="0.25">
      <c r="A634" t="s">
        <v>671</v>
      </c>
      <c r="B634">
        <v>3176</v>
      </c>
      <c r="C634">
        <v>586</v>
      </c>
      <c r="D634">
        <v>9</v>
      </c>
      <c r="E634" t="s">
        <v>40</v>
      </c>
      <c r="F634" t="s">
        <v>41</v>
      </c>
      <c r="G634" t="s">
        <v>36</v>
      </c>
      <c r="H634" s="1">
        <v>45155</v>
      </c>
      <c r="I634" t="s">
        <v>672</v>
      </c>
      <c r="J634" t="s">
        <v>63</v>
      </c>
      <c r="K634" t="s">
        <v>64</v>
      </c>
      <c r="L634" s="1">
        <v>45139</v>
      </c>
      <c r="M634">
        <v>0.184508816120907</v>
      </c>
      <c r="N634">
        <v>7.0615927814829404E-4</v>
      </c>
    </row>
    <row r="635" spans="1:14" x14ac:dyDescent="0.25">
      <c r="A635" t="s">
        <v>671</v>
      </c>
      <c r="B635">
        <v>3176</v>
      </c>
      <c r="C635">
        <v>586</v>
      </c>
      <c r="D635">
        <v>9</v>
      </c>
      <c r="E635" t="s">
        <v>40</v>
      </c>
      <c r="F635" t="s">
        <v>41</v>
      </c>
      <c r="G635" t="s">
        <v>36</v>
      </c>
      <c r="H635" s="1">
        <v>44529</v>
      </c>
      <c r="I635" t="s">
        <v>673</v>
      </c>
      <c r="J635" t="s">
        <v>83</v>
      </c>
      <c r="K635" t="s">
        <v>90</v>
      </c>
      <c r="L635" s="1">
        <v>44501</v>
      </c>
      <c r="M635">
        <v>0.184508816120907</v>
      </c>
      <c r="N635">
        <v>7.0615927814829404E-4</v>
      </c>
    </row>
    <row r="636" spans="1:14" x14ac:dyDescent="0.25">
      <c r="A636" t="s">
        <v>674</v>
      </c>
      <c r="B636">
        <v>9144</v>
      </c>
      <c r="C636">
        <v>2220</v>
      </c>
      <c r="D636">
        <v>18</v>
      </c>
      <c r="E636" t="s">
        <v>28</v>
      </c>
      <c r="F636" t="s">
        <v>68</v>
      </c>
      <c r="G636" t="s">
        <v>42</v>
      </c>
      <c r="H636" s="1">
        <v>44360</v>
      </c>
      <c r="I636" t="s">
        <v>675</v>
      </c>
      <c r="J636" t="s">
        <v>18</v>
      </c>
      <c r="K636" t="s">
        <v>19</v>
      </c>
      <c r="L636" s="1">
        <v>44348</v>
      </c>
      <c r="M636">
        <v>0.24278215223097099</v>
      </c>
      <c r="N636">
        <v>1.41231855629659E-3</v>
      </c>
    </row>
    <row r="637" spans="1:14" x14ac:dyDescent="0.25">
      <c r="A637" t="s">
        <v>676</v>
      </c>
      <c r="B637">
        <v>4146</v>
      </c>
      <c r="C637">
        <v>865</v>
      </c>
      <c r="D637">
        <v>19</v>
      </c>
      <c r="E637" t="s">
        <v>40</v>
      </c>
      <c r="F637" t="s">
        <v>41</v>
      </c>
      <c r="G637" t="s">
        <v>36</v>
      </c>
      <c r="H637" s="1">
        <v>44746</v>
      </c>
      <c r="I637" t="s">
        <v>677</v>
      </c>
      <c r="J637" t="s">
        <v>63</v>
      </c>
      <c r="K637" t="s">
        <v>112</v>
      </c>
      <c r="L637" s="1">
        <v>44743</v>
      </c>
      <c r="M637">
        <v>0.20863482875060299</v>
      </c>
      <c r="N637">
        <v>1.4907806983130601E-3</v>
      </c>
    </row>
    <row r="638" spans="1:14" x14ac:dyDescent="0.25">
      <c r="A638" t="s">
        <v>676</v>
      </c>
      <c r="B638">
        <v>3793</v>
      </c>
      <c r="C638">
        <v>875</v>
      </c>
      <c r="D638">
        <v>7</v>
      </c>
      <c r="E638" t="s">
        <v>40</v>
      </c>
      <c r="F638" t="s">
        <v>41</v>
      </c>
      <c r="G638" t="s">
        <v>36</v>
      </c>
      <c r="H638" s="1">
        <v>44746</v>
      </c>
      <c r="I638" t="s">
        <v>677</v>
      </c>
      <c r="J638" t="s">
        <v>63</v>
      </c>
      <c r="K638" t="s">
        <v>112</v>
      </c>
      <c r="L638" s="1">
        <v>44743</v>
      </c>
      <c r="M638">
        <v>0.23068810967571801</v>
      </c>
      <c r="N638">
        <v>5.4923499411533899E-4</v>
      </c>
    </row>
    <row r="639" spans="1:14" x14ac:dyDescent="0.25">
      <c r="A639" t="s">
        <v>678</v>
      </c>
      <c r="B639">
        <v>7169</v>
      </c>
      <c r="C639">
        <v>2385</v>
      </c>
      <c r="D639">
        <v>11</v>
      </c>
      <c r="E639" t="s">
        <v>40</v>
      </c>
      <c r="F639" t="s">
        <v>52</v>
      </c>
      <c r="G639" t="s">
        <v>57</v>
      </c>
      <c r="H639" s="1">
        <v>44374</v>
      </c>
      <c r="I639" t="s">
        <v>679</v>
      </c>
      <c r="J639" t="s">
        <v>38</v>
      </c>
      <c r="K639" t="s">
        <v>39</v>
      </c>
      <c r="L639" s="1">
        <v>44348</v>
      </c>
      <c r="M639">
        <v>0.332682382480123</v>
      </c>
      <c r="N639">
        <v>8.6308356218124801E-4</v>
      </c>
    </row>
    <row r="640" spans="1:14" x14ac:dyDescent="0.25">
      <c r="A640" t="s">
        <v>678</v>
      </c>
      <c r="B640">
        <v>4046</v>
      </c>
      <c r="C640">
        <v>417</v>
      </c>
      <c r="D640">
        <v>18</v>
      </c>
      <c r="E640" t="s">
        <v>40</v>
      </c>
      <c r="F640" t="s">
        <v>44</v>
      </c>
      <c r="G640" t="s">
        <v>42</v>
      </c>
      <c r="H640" s="1">
        <v>44374</v>
      </c>
      <c r="I640" t="s">
        <v>679</v>
      </c>
      <c r="J640" t="s">
        <v>38</v>
      </c>
      <c r="K640" t="s">
        <v>39</v>
      </c>
      <c r="L640" s="1">
        <v>44348</v>
      </c>
      <c r="M640">
        <v>0.10306475531389001</v>
      </c>
      <c r="N640">
        <v>1.41231855629659E-3</v>
      </c>
    </row>
    <row r="641" spans="1:14" x14ac:dyDescent="0.25">
      <c r="A641" t="s">
        <v>680</v>
      </c>
      <c r="B641">
        <v>4164</v>
      </c>
      <c r="C641">
        <v>905</v>
      </c>
      <c r="D641">
        <v>11</v>
      </c>
      <c r="E641" t="s">
        <v>14</v>
      </c>
      <c r="F641" t="s">
        <v>71</v>
      </c>
      <c r="G641" t="s">
        <v>57</v>
      </c>
      <c r="H641" s="1">
        <v>45264</v>
      </c>
      <c r="I641" t="s">
        <v>681</v>
      </c>
      <c r="J641" t="s">
        <v>38</v>
      </c>
      <c r="K641" t="s">
        <v>66</v>
      </c>
      <c r="L641" s="1">
        <v>45261</v>
      </c>
      <c r="M641">
        <v>0.217339097022094</v>
      </c>
      <c r="N641">
        <v>8.6308356218124801E-4</v>
      </c>
    </row>
    <row r="642" spans="1:14" x14ac:dyDescent="0.25">
      <c r="A642" t="s">
        <v>680</v>
      </c>
      <c r="B642">
        <v>5389</v>
      </c>
      <c r="C642">
        <v>2196</v>
      </c>
      <c r="D642">
        <v>5</v>
      </c>
      <c r="E642" t="s">
        <v>40</v>
      </c>
      <c r="F642" t="s">
        <v>41</v>
      </c>
      <c r="G642" t="s">
        <v>16</v>
      </c>
      <c r="H642" s="1">
        <v>45264</v>
      </c>
      <c r="I642" t="s">
        <v>681</v>
      </c>
      <c r="J642" t="s">
        <v>38</v>
      </c>
      <c r="K642" t="s">
        <v>66</v>
      </c>
      <c r="L642" s="1">
        <v>45261</v>
      </c>
      <c r="M642">
        <v>0.40749675264427498</v>
      </c>
      <c r="N642">
        <v>3.9231071008238503E-4</v>
      </c>
    </row>
    <row r="643" spans="1:14" x14ac:dyDescent="0.25">
      <c r="A643" t="s">
        <v>682</v>
      </c>
      <c r="B643">
        <v>5448</v>
      </c>
      <c r="C643">
        <v>2204</v>
      </c>
      <c r="D643">
        <v>5</v>
      </c>
      <c r="E643" t="s">
        <v>40</v>
      </c>
      <c r="F643" t="s">
        <v>52</v>
      </c>
      <c r="G643" t="s">
        <v>57</v>
      </c>
      <c r="H643" s="1">
        <v>44782</v>
      </c>
      <c r="I643" t="s">
        <v>683</v>
      </c>
      <c r="J643" t="s">
        <v>24</v>
      </c>
      <c r="K643" t="s">
        <v>46</v>
      </c>
      <c r="L643" s="1">
        <v>44774</v>
      </c>
      <c r="M643">
        <v>0.404552129221733</v>
      </c>
      <c r="N643">
        <v>3.9231071008238503E-4</v>
      </c>
    </row>
    <row r="644" spans="1:14" x14ac:dyDescent="0.25">
      <c r="A644" t="s">
        <v>684</v>
      </c>
      <c r="B644">
        <v>4115</v>
      </c>
      <c r="C644">
        <v>1285</v>
      </c>
      <c r="D644">
        <v>1</v>
      </c>
      <c r="E644" t="s">
        <v>40</v>
      </c>
      <c r="F644" t="s">
        <v>52</v>
      </c>
      <c r="G644" t="s">
        <v>16</v>
      </c>
      <c r="H644" s="1">
        <v>43929</v>
      </c>
      <c r="I644" t="s">
        <v>685</v>
      </c>
      <c r="J644" t="s">
        <v>18</v>
      </c>
      <c r="K644" t="s">
        <v>32</v>
      </c>
      <c r="L644" s="1">
        <v>43922</v>
      </c>
      <c r="M644">
        <v>0.31227217496962301</v>
      </c>
      <c r="N644">
        <v>7.8462142016476997E-5</v>
      </c>
    </row>
    <row r="645" spans="1:14" x14ac:dyDescent="0.25">
      <c r="A645" t="s">
        <v>684</v>
      </c>
      <c r="B645">
        <v>4761</v>
      </c>
      <c r="C645">
        <v>2231</v>
      </c>
      <c r="D645">
        <v>12</v>
      </c>
      <c r="E645" t="s">
        <v>40</v>
      </c>
      <c r="F645" t="s">
        <v>41</v>
      </c>
      <c r="G645" t="s">
        <v>16</v>
      </c>
      <c r="H645" s="1">
        <v>43929</v>
      </c>
      <c r="I645" t="s">
        <v>685</v>
      </c>
      <c r="J645" t="s">
        <v>18</v>
      </c>
      <c r="K645" t="s">
        <v>32</v>
      </c>
      <c r="L645" s="1">
        <v>43922</v>
      </c>
      <c r="M645">
        <v>0.46859903381642498</v>
      </c>
      <c r="N645">
        <v>9.4154570419772402E-4</v>
      </c>
    </row>
    <row r="646" spans="1:14" x14ac:dyDescent="0.25">
      <c r="A646" t="s">
        <v>686</v>
      </c>
      <c r="B646">
        <v>5899</v>
      </c>
      <c r="C646">
        <v>2264</v>
      </c>
      <c r="D646">
        <v>6</v>
      </c>
      <c r="E646" t="s">
        <v>28</v>
      </c>
      <c r="F646" t="s">
        <v>68</v>
      </c>
      <c r="G646" t="s">
        <v>36</v>
      </c>
      <c r="H646" s="1">
        <v>45219</v>
      </c>
      <c r="I646" t="s">
        <v>687</v>
      </c>
      <c r="J646" t="s">
        <v>24</v>
      </c>
      <c r="K646" t="s">
        <v>25</v>
      </c>
      <c r="L646" s="1">
        <v>45200</v>
      </c>
      <c r="M646">
        <v>0.38379386336667198</v>
      </c>
      <c r="N646">
        <v>4.7077285209886201E-4</v>
      </c>
    </row>
    <row r="647" spans="1:14" x14ac:dyDescent="0.25">
      <c r="A647" t="s">
        <v>688</v>
      </c>
      <c r="B647">
        <v>6109</v>
      </c>
      <c r="C647">
        <v>3040</v>
      </c>
      <c r="D647">
        <v>9</v>
      </c>
      <c r="E647" t="s">
        <v>40</v>
      </c>
      <c r="F647" t="s">
        <v>44</v>
      </c>
      <c r="G647" t="s">
        <v>36</v>
      </c>
      <c r="H647" s="1">
        <v>44602</v>
      </c>
      <c r="I647" t="s">
        <v>689</v>
      </c>
      <c r="J647" t="s">
        <v>24</v>
      </c>
      <c r="K647" t="s">
        <v>25</v>
      </c>
      <c r="L647" s="1">
        <v>44593</v>
      </c>
      <c r="M647">
        <v>0.497626452774595</v>
      </c>
      <c r="N647">
        <v>7.0615927814829404E-4</v>
      </c>
    </row>
    <row r="648" spans="1:14" x14ac:dyDescent="0.25">
      <c r="A648" t="s">
        <v>688</v>
      </c>
      <c r="B648">
        <v>6109</v>
      </c>
      <c r="C648">
        <v>3040</v>
      </c>
      <c r="D648">
        <v>9</v>
      </c>
      <c r="E648" t="s">
        <v>40</v>
      </c>
      <c r="F648" t="s">
        <v>44</v>
      </c>
      <c r="G648" t="s">
        <v>36</v>
      </c>
      <c r="H648" s="1">
        <v>45204</v>
      </c>
      <c r="I648" t="s">
        <v>690</v>
      </c>
      <c r="J648" t="s">
        <v>24</v>
      </c>
      <c r="K648" t="s">
        <v>60</v>
      </c>
      <c r="L648" s="1">
        <v>45200</v>
      </c>
      <c r="M648">
        <v>0.497626452774595</v>
      </c>
      <c r="N648">
        <v>7.0615927814829404E-4</v>
      </c>
    </row>
    <row r="649" spans="1:14" x14ac:dyDescent="0.25">
      <c r="A649" t="s">
        <v>688</v>
      </c>
      <c r="B649">
        <v>4628</v>
      </c>
      <c r="C649">
        <v>1491</v>
      </c>
      <c r="D649">
        <v>17</v>
      </c>
      <c r="E649" t="s">
        <v>14</v>
      </c>
      <c r="F649" t="s">
        <v>15</v>
      </c>
      <c r="G649" t="s">
        <v>16</v>
      </c>
      <c r="H649" s="1">
        <v>44602</v>
      </c>
      <c r="I649" t="s">
        <v>689</v>
      </c>
      <c r="J649" t="s">
        <v>24</v>
      </c>
      <c r="K649" t="s">
        <v>25</v>
      </c>
      <c r="L649" s="1">
        <v>44593</v>
      </c>
      <c r="M649">
        <v>0.32216940363007801</v>
      </c>
      <c r="N649">
        <v>1.33385641428011E-3</v>
      </c>
    </row>
    <row r="650" spans="1:14" x14ac:dyDescent="0.25">
      <c r="A650" t="s">
        <v>688</v>
      </c>
      <c r="B650">
        <v>4628</v>
      </c>
      <c r="C650">
        <v>1491</v>
      </c>
      <c r="D650">
        <v>17</v>
      </c>
      <c r="E650" t="s">
        <v>14</v>
      </c>
      <c r="F650" t="s">
        <v>15</v>
      </c>
      <c r="G650" t="s">
        <v>16</v>
      </c>
      <c r="H650" s="1">
        <v>45204</v>
      </c>
      <c r="I650" t="s">
        <v>690</v>
      </c>
      <c r="J650" t="s">
        <v>24</v>
      </c>
      <c r="K650" t="s">
        <v>60</v>
      </c>
      <c r="L650" s="1">
        <v>45200</v>
      </c>
      <c r="M650">
        <v>0.32216940363007801</v>
      </c>
      <c r="N650">
        <v>1.33385641428011E-3</v>
      </c>
    </row>
    <row r="651" spans="1:14" x14ac:dyDescent="0.25">
      <c r="A651" t="s">
        <v>691</v>
      </c>
      <c r="B651">
        <v>4369</v>
      </c>
      <c r="C651">
        <v>584</v>
      </c>
      <c r="D651">
        <v>13</v>
      </c>
      <c r="E651" t="s">
        <v>28</v>
      </c>
      <c r="F651" t="s">
        <v>29</v>
      </c>
      <c r="G651" t="s">
        <v>42</v>
      </c>
      <c r="H651" s="1">
        <v>44826</v>
      </c>
      <c r="I651" t="s">
        <v>692</v>
      </c>
      <c r="J651" t="s">
        <v>21</v>
      </c>
      <c r="K651" t="s">
        <v>138</v>
      </c>
      <c r="L651" s="1">
        <v>44805</v>
      </c>
      <c r="M651">
        <v>0.13366903181506101</v>
      </c>
      <c r="N651">
        <v>1.0200078462141999E-3</v>
      </c>
    </row>
    <row r="652" spans="1:14" x14ac:dyDescent="0.25">
      <c r="A652" t="s">
        <v>691</v>
      </c>
      <c r="B652">
        <v>4369</v>
      </c>
      <c r="C652">
        <v>584</v>
      </c>
      <c r="D652">
        <v>13</v>
      </c>
      <c r="E652" t="s">
        <v>28</v>
      </c>
      <c r="F652" t="s">
        <v>29</v>
      </c>
      <c r="G652" t="s">
        <v>42</v>
      </c>
      <c r="H652" s="1">
        <v>44289</v>
      </c>
      <c r="I652" t="s">
        <v>693</v>
      </c>
      <c r="J652" t="s">
        <v>63</v>
      </c>
      <c r="K652" t="s">
        <v>75</v>
      </c>
      <c r="L652" s="1">
        <v>44287</v>
      </c>
      <c r="M652">
        <v>0.13366903181506101</v>
      </c>
      <c r="N652">
        <v>1.0200078462141999E-3</v>
      </c>
    </row>
    <row r="653" spans="1:14" x14ac:dyDescent="0.25">
      <c r="A653" t="s">
        <v>694</v>
      </c>
      <c r="B653">
        <v>5632</v>
      </c>
      <c r="C653">
        <v>2358</v>
      </c>
      <c r="D653">
        <v>20</v>
      </c>
      <c r="E653" t="s">
        <v>40</v>
      </c>
      <c r="F653" t="s">
        <v>52</v>
      </c>
      <c r="G653" t="s">
        <v>42</v>
      </c>
      <c r="H653" s="1">
        <v>44319</v>
      </c>
      <c r="I653" t="s">
        <v>695</v>
      </c>
      <c r="J653" t="s">
        <v>38</v>
      </c>
      <c r="K653" t="s">
        <v>39</v>
      </c>
      <c r="L653" s="1">
        <v>44317</v>
      </c>
      <c r="M653">
        <v>0.41867897727272702</v>
      </c>
      <c r="N653">
        <v>1.5692428403295401E-3</v>
      </c>
    </row>
    <row r="654" spans="1:14" x14ac:dyDescent="0.25">
      <c r="A654" t="s">
        <v>694</v>
      </c>
      <c r="B654">
        <v>5632</v>
      </c>
      <c r="C654">
        <v>2358</v>
      </c>
      <c r="D654">
        <v>20</v>
      </c>
      <c r="E654" t="s">
        <v>40</v>
      </c>
      <c r="F654" t="s">
        <v>52</v>
      </c>
      <c r="G654" t="s">
        <v>42</v>
      </c>
      <c r="H654" s="1">
        <v>45333</v>
      </c>
      <c r="I654" t="s">
        <v>696</v>
      </c>
      <c r="J654" t="s">
        <v>18</v>
      </c>
      <c r="K654" t="s">
        <v>19</v>
      </c>
      <c r="L654" s="1">
        <v>45323</v>
      </c>
      <c r="M654">
        <v>0.41867897727272702</v>
      </c>
      <c r="N654">
        <v>1.5692428403295401E-3</v>
      </c>
    </row>
    <row r="655" spans="1:14" x14ac:dyDescent="0.25">
      <c r="A655" t="s">
        <v>694</v>
      </c>
      <c r="B655">
        <v>5632</v>
      </c>
      <c r="C655">
        <v>2358</v>
      </c>
      <c r="D655">
        <v>20</v>
      </c>
      <c r="E655" t="s">
        <v>40</v>
      </c>
      <c r="F655" t="s">
        <v>52</v>
      </c>
      <c r="G655" t="s">
        <v>42</v>
      </c>
      <c r="H655" s="1">
        <v>45692</v>
      </c>
      <c r="I655" t="s">
        <v>697</v>
      </c>
      <c r="J655" t="s">
        <v>83</v>
      </c>
      <c r="K655" t="s">
        <v>98</v>
      </c>
      <c r="L655" s="1">
        <v>45689</v>
      </c>
      <c r="M655">
        <v>0.41867897727272702</v>
      </c>
      <c r="N655">
        <v>1.5692428403295401E-3</v>
      </c>
    </row>
    <row r="656" spans="1:14" x14ac:dyDescent="0.25">
      <c r="A656" t="s">
        <v>698</v>
      </c>
      <c r="B656">
        <v>7519</v>
      </c>
      <c r="C656">
        <v>402</v>
      </c>
      <c r="D656">
        <v>14</v>
      </c>
      <c r="E656" t="s">
        <v>28</v>
      </c>
      <c r="F656" t="s">
        <v>56</v>
      </c>
      <c r="G656" t="s">
        <v>16</v>
      </c>
      <c r="H656" s="1">
        <v>44846</v>
      </c>
      <c r="I656" t="s">
        <v>699</v>
      </c>
      <c r="J656" t="s">
        <v>38</v>
      </c>
      <c r="K656" t="s">
        <v>66</v>
      </c>
      <c r="L656" s="1">
        <v>44835</v>
      </c>
      <c r="M656">
        <v>5.3464556456975697E-2</v>
      </c>
      <c r="N656">
        <v>1.0984699882306799E-3</v>
      </c>
    </row>
    <row r="657" spans="1:14" x14ac:dyDescent="0.25">
      <c r="A657" t="s">
        <v>698</v>
      </c>
      <c r="B657">
        <v>1564</v>
      </c>
      <c r="C657">
        <v>674</v>
      </c>
      <c r="D657">
        <v>13</v>
      </c>
      <c r="E657" t="s">
        <v>14</v>
      </c>
      <c r="F657" t="s">
        <v>15</v>
      </c>
      <c r="G657" t="s">
        <v>30</v>
      </c>
      <c r="H657" s="1">
        <v>44846</v>
      </c>
      <c r="I657" t="s">
        <v>699</v>
      </c>
      <c r="J657" t="s">
        <v>38</v>
      </c>
      <c r="K657" t="s">
        <v>66</v>
      </c>
      <c r="L657" s="1">
        <v>44835</v>
      </c>
      <c r="M657">
        <v>0.430946291560102</v>
      </c>
      <c r="N657">
        <v>1.0200078462141999E-3</v>
      </c>
    </row>
    <row r="658" spans="1:14" x14ac:dyDescent="0.25">
      <c r="A658" t="s">
        <v>700</v>
      </c>
      <c r="B658">
        <v>2804</v>
      </c>
      <c r="C658">
        <v>936</v>
      </c>
      <c r="D658">
        <v>10</v>
      </c>
      <c r="E658" t="s">
        <v>14</v>
      </c>
      <c r="F658" t="s">
        <v>15</v>
      </c>
      <c r="G658" t="s">
        <v>42</v>
      </c>
      <c r="H658" s="1">
        <v>44598</v>
      </c>
      <c r="I658" t="s">
        <v>701</v>
      </c>
      <c r="J658" t="s">
        <v>63</v>
      </c>
      <c r="K658" t="s">
        <v>75</v>
      </c>
      <c r="L658" s="1">
        <v>44593</v>
      </c>
      <c r="M658">
        <v>0.33380884450784598</v>
      </c>
      <c r="N658">
        <v>7.8462142016477005E-4</v>
      </c>
    </row>
    <row r="659" spans="1:14" x14ac:dyDescent="0.25">
      <c r="A659" t="s">
        <v>700</v>
      </c>
      <c r="B659">
        <v>2804</v>
      </c>
      <c r="C659">
        <v>936</v>
      </c>
      <c r="D659">
        <v>10</v>
      </c>
      <c r="E659" t="s">
        <v>14</v>
      </c>
      <c r="F659" t="s">
        <v>15</v>
      </c>
      <c r="G659" t="s">
        <v>42</v>
      </c>
      <c r="H659" s="1">
        <v>44144</v>
      </c>
      <c r="I659" t="s">
        <v>702</v>
      </c>
      <c r="J659" t="s">
        <v>18</v>
      </c>
      <c r="K659" t="s">
        <v>122</v>
      </c>
      <c r="L659" s="1">
        <v>44136</v>
      </c>
      <c r="M659">
        <v>0.33380884450784598</v>
      </c>
      <c r="N659">
        <v>7.8462142016477005E-4</v>
      </c>
    </row>
    <row r="660" spans="1:14" x14ac:dyDescent="0.25">
      <c r="A660" t="s">
        <v>700</v>
      </c>
      <c r="B660">
        <v>2804</v>
      </c>
      <c r="C660">
        <v>936</v>
      </c>
      <c r="D660">
        <v>10</v>
      </c>
      <c r="E660" t="s">
        <v>14</v>
      </c>
      <c r="F660" t="s">
        <v>15</v>
      </c>
      <c r="G660" t="s">
        <v>42</v>
      </c>
      <c r="H660" s="1">
        <v>45049</v>
      </c>
      <c r="I660" t="s">
        <v>703</v>
      </c>
      <c r="J660" t="s">
        <v>18</v>
      </c>
      <c r="K660" t="s">
        <v>122</v>
      </c>
      <c r="L660" s="1">
        <v>45047</v>
      </c>
      <c r="M660">
        <v>0.33380884450784598</v>
      </c>
      <c r="N660">
        <v>7.8462142016477005E-4</v>
      </c>
    </row>
    <row r="661" spans="1:14" x14ac:dyDescent="0.25">
      <c r="A661" t="s">
        <v>704</v>
      </c>
      <c r="B661">
        <v>2321</v>
      </c>
      <c r="C661">
        <v>505</v>
      </c>
      <c r="D661">
        <v>6</v>
      </c>
      <c r="E661" t="s">
        <v>40</v>
      </c>
      <c r="F661" t="s">
        <v>44</v>
      </c>
      <c r="G661" t="s">
        <v>36</v>
      </c>
      <c r="H661" s="1">
        <v>44838</v>
      </c>
      <c r="I661" t="s">
        <v>705</v>
      </c>
      <c r="J661" t="s">
        <v>21</v>
      </c>
      <c r="K661" t="s">
        <v>55</v>
      </c>
      <c r="L661" s="1">
        <v>44835</v>
      </c>
      <c r="M661">
        <v>0.21757862990090501</v>
      </c>
      <c r="N661">
        <v>4.7077285209886201E-4</v>
      </c>
    </row>
    <row r="662" spans="1:14" x14ac:dyDescent="0.25">
      <c r="A662" t="s">
        <v>706</v>
      </c>
      <c r="B662">
        <v>5730</v>
      </c>
      <c r="C662">
        <v>482</v>
      </c>
      <c r="D662">
        <v>6</v>
      </c>
      <c r="E662" t="s">
        <v>14</v>
      </c>
      <c r="F662" t="s">
        <v>35</v>
      </c>
      <c r="G662" t="s">
        <v>57</v>
      </c>
      <c r="H662" s="1">
        <v>45525</v>
      </c>
      <c r="I662" t="s">
        <v>707</v>
      </c>
      <c r="J662" t="s">
        <v>18</v>
      </c>
      <c r="K662" t="s">
        <v>122</v>
      </c>
      <c r="L662" s="1">
        <v>45505</v>
      </c>
      <c r="M662">
        <v>8.4118673647469402E-2</v>
      </c>
      <c r="N662">
        <v>4.7077285209886201E-4</v>
      </c>
    </row>
    <row r="663" spans="1:14" x14ac:dyDescent="0.25">
      <c r="A663" t="s">
        <v>708</v>
      </c>
      <c r="B663">
        <v>7441</v>
      </c>
      <c r="C663">
        <v>867</v>
      </c>
      <c r="D663">
        <v>12</v>
      </c>
      <c r="E663" t="s">
        <v>40</v>
      </c>
      <c r="F663" t="s">
        <v>52</v>
      </c>
      <c r="G663" t="s">
        <v>57</v>
      </c>
      <c r="H663" s="1">
        <v>44520</v>
      </c>
      <c r="I663" t="s">
        <v>709</v>
      </c>
      <c r="J663" t="s">
        <v>21</v>
      </c>
      <c r="K663" t="s">
        <v>22</v>
      </c>
      <c r="L663" s="1">
        <v>44501</v>
      </c>
      <c r="M663">
        <v>0.116516597231555</v>
      </c>
      <c r="N663">
        <v>9.4154570419772402E-4</v>
      </c>
    </row>
    <row r="664" spans="1:14" x14ac:dyDescent="0.25">
      <c r="A664" t="s">
        <v>708</v>
      </c>
      <c r="B664">
        <v>7441</v>
      </c>
      <c r="C664">
        <v>867</v>
      </c>
      <c r="D664">
        <v>12</v>
      </c>
      <c r="E664" t="s">
        <v>40</v>
      </c>
      <c r="F664" t="s">
        <v>52</v>
      </c>
      <c r="G664" t="s">
        <v>57</v>
      </c>
      <c r="H664" s="1">
        <v>43964</v>
      </c>
      <c r="I664" t="s">
        <v>710</v>
      </c>
      <c r="J664" t="s">
        <v>63</v>
      </c>
      <c r="K664" t="s">
        <v>75</v>
      </c>
      <c r="L664" s="1">
        <v>43952</v>
      </c>
      <c r="M664">
        <v>0.116516597231555</v>
      </c>
      <c r="N664">
        <v>9.4154570419772402E-4</v>
      </c>
    </row>
    <row r="665" spans="1:14" x14ac:dyDescent="0.25">
      <c r="A665" t="s">
        <v>711</v>
      </c>
      <c r="B665">
        <v>1732</v>
      </c>
      <c r="C665">
        <v>766</v>
      </c>
      <c r="D665">
        <v>7</v>
      </c>
      <c r="E665" t="s">
        <v>28</v>
      </c>
      <c r="F665" t="s">
        <v>68</v>
      </c>
      <c r="G665" t="s">
        <v>16</v>
      </c>
      <c r="H665" s="1">
        <v>44985</v>
      </c>
      <c r="I665" t="s">
        <v>712</v>
      </c>
      <c r="J665" t="s">
        <v>24</v>
      </c>
      <c r="K665" t="s">
        <v>46</v>
      </c>
      <c r="L665" s="1">
        <v>44958</v>
      </c>
      <c r="M665">
        <v>0.44226327944572702</v>
      </c>
      <c r="N665">
        <v>5.4923499411533899E-4</v>
      </c>
    </row>
    <row r="666" spans="1:14" x14ac:dyDescent="0.25">
      <c r="A666" t="s">
        <v>711</v>
      </c>
      <c r="B666">
        <v>8788</v>
      </c>
      <c r="C666">
        <v>3944</v>
      </c>
      <c r="D666">
        <v>19</v>
      </c>
      <c r="E666" t="s">
        <v>28</v>
      </c>
      <c r="F666" t="s">
        <v>56</v>
      </c>
      <c r="G666" t="s">
        <v>36</v>
      </c>
      <c r="H666" s="1">
        <v>44985</v>
      </c>
      <c r="I666" t="s">
        <v>712</v>
      </c>
      <c r="J666" t="s">
        <v>24</v>
      </c>
      <c r="K666" t="s">
        <v>46</v>
      </c>
      <c r="L666" s="1">
        <v>44958</v>
      </c>
      <c r="M666">
        <v>0.44879380974055499</v>
      </c>
      <c r="N666">
        <v>1.4907806983130601E-3</v>
      </c>
    </row>
    <row r="667" spans="1:14" x14ac:dyDescent="0.25">
      <c r="A667" t="s">
        <v>713</v>
      </c>
      <c r="B667">
        <v>838</v>
      </c>
      <c r="C667">
        <v>271</v>
      </c>
      <c r="D667">
        <v>11</v>
      </c>
      <c r="E667" t="s">
        <v>28</v>
      </c>
      <c r="F667" t="s">
        <v>50</v>
      </c>
      <c r="G667" t="s">
        <v>36</v>
      </c>
      <c r="H667" s="1">
        <v>44217</v>
      </c>
      <c r="I667" t="s">
        <v>714</v>
      </c>
      <c r="J667" t="s">
        <v>83</v>
      </c>
      <c r="K667" t="s">
        <v>84</v>
      </c>
      <c r="L667" s="1">
        <v>44197</v>
      </c>
      <c r="M667">
        <v>0.32338902147971399</v>
      </c>
      <c r="N667">
        <v>8.6308356218124801E-4</v>
      </c>
    </row>
    <row r="668" spans="1:14" x14ac:dyDescent="0.25">
      <c r="A668" t="s">
        <v>713</v>
      </c>
      <c r="B668">
        <v>838</v>
      </c>
      <c r="C668">
        <v>271</v>
      </c>
      <c r="D668">
        <v>11</v>
      </c>
      <c r="E668" t="s">
        <v>28</v>
      </c>
      <c r="F668" t="s">
        <v>50</v>
      </c>
      <c r="G668" t="s">
        <v>36</v>
      </c>
      <c r="H668" s="1">
        <v>44620</v>
      </c>
      <c r="I668" t="s">
        <v>715</v>
      </c>
      <c r="J668" t="s">
        <v>21</v>
      </c>
      <c r="K668" t="s">
        <v>138</v>
      </c>
      <c r="L668" s="1">
        <v>44593</v>
      </c>
      <c r="M668">
        <v>0.32338902147971399</v>
      </c>
      <c r="N668">
        <v>8.6308356218124801E-4</v>
      </c>
    </row>
    <row r="669" spans="1:14" x14ac:dyDescent="0.25">
      <c r="A669" t="s">
        <v>713</v>
      </c>
      <c r="B669">
        <v>3577</v>
      </c>
      <c r="C669">
        <v>699</v>
      </c>
      <c r="D669">
        <v>2</v>
      </c>
      <c r="E669" t="s">
        <v>40</v>
      </c>
      <c r="F669" t="s">
        <v>41</v>
      </c>
      <c r="G669" t="s">
        <v>16</v>
      </c>
      <c r="H669" s="1">
        <v>44217</v>
      </c>
      <c r="I669" t="s">
        <v>714</v>
      </c>
      <c r="J669" t="s">
        <v>83</v>
      </c>
      <c r="K669" t="s">
        <v>84</v>
      </c>
      <c r="L669" s="1">
        <v>44197</v>
      </c>
      <c r="M669">
        <v>0.19541515236231499</v>
      </c>
      <c r="N669">
        <v>1.5692428403295399E-4</v>
      </c>
    </row>
    <row r="670" spans="1:14" x14ac:dyDescent="0.25">
      <c r="A670" t="s">
        <v>713</v>
      </c>
      <c r="B670">
        <v>3577</v>
      </c>
      <c r="C670">
        <v>699</v>
      </c>
      <c r="D670">
        <v>2</v>
      </c>
      <c r="E670" t="s">
        <v>40</v>
      </c>
      <c r="F670" t="s">
        <v>41</v>
      </c>
      <c r="G670" t="s">
        <v>16</v>
      </c>
      <c r="H670" s="1">
        <v>44620</v>
      </c>
      <c r="I670" t="s">
        <v>715</v>
      </c>
      <c r="J670" t="s">
        <v>21</v>
      </c>
      <c r="K670" t="s">
        <v>138</v>
      </c>
      <c r="L670" s="1">
        <v>44593</v>
      </c>
      <c r="M670">
        <v>0.19541515236231499</v>
      </c>
      <c r="N670">
        <v>1.5692428403295399E-4</v>
      </c>
    </row>
    <row r="671" spans="1:14" x14ac:dyDescent="0.25">
      <c r="A671" t="s">
        <v>716</v>
      </c>
      <c r="B671">
        <v>7122</v>
      </c>
      <c r="C671">
        <v>1836</v>
      </c>
      <c r="D671">
        <v>6</v>
      </c>
      <c r="E671" t="s">
        <v>14</v>
      </c>
      <c r="F671" t="s">
        <v>71</v>
      </c>
      <c r="G671" t="s">
        <v>30</v>
      </c>
      <c r="H671" s="1">
        <v>45407</v>
      </c>
      <c r="I671" t="s">
        <v>717</v>
      </c>
      <c r="J671" t="s">
        <v>63</v>
      </c>
      <c r="K671" t="s">
        <v>64</v>
      </c>
      <c r="L671" s="1">
        <v>45383</v>
      </c>
      <c r="M671">
        <v>0.25779275484414499</v>
      </c>
      <c r="N671">
        <v>4.7077285209886201E-4</v>
      </c>
    </row>
    <row r="672" spans="1:14" x14ac:dyDescent="0.25">
      <c r="A672" t="s">
        <v>716</v>
      </c>
      <c r="B672">
        <v>7122</v>
      </c>
      <c r="C672">
        <v>1836</v>
      </c>
      <c r="D672">
        <v>6</v>
      </c>
      <c r="E672" t="s">
        <v>14</v>
      </c>
      <c r="F672" t="s">
        <v>71</v>
      </c>
      <c r="G672" t="s">
        <v>30</v>
      </c>
      <c r="H672" s="1">
        <v>44995</v>
      </c>
      <c r="I672" t="s">
        <v>718</v>
      </c>
      <c r="J672" t="s">
        <v>63</v>
      </c>
      <c r="K672" t="s">
        <v>112</v>
      </c>
      <c r="L672" s="1">
        <v>44986</v>
      </c>
      <c r="M672">
        <v>0.25779275484414499</v>
      </c>
      <c r="N672">
        <v>4.7077285209886201E-4</v>
      </c>
    </row>
    <row r="673" spans="1:14" x14ac:dyDescent="0.25">
      <c r="A673" t="s">
        <v>716</v>
      </c>
      <c r="B673">
        <v>7122</v>
      </c>
      <c r="C673">
        <v>1836</v>
      </c>
      <c r="D673">
        <v>6</v>
      </c>
      <c r="E673" t="s">
        <v>14</v>
      </c>
      <c r="F673" t="s">
        <v>71</v>
      </c>
      <c r="G673" t="s">
        <v>30</v>
      </c>
      <c r="H673" s="1">
        <v>45117</v>
      </c>
      <c r="I673" t="s">
        <v>719</v>
      </c>
      <c r="J673" t="s">
        <v>24</v>
      </c>
      <c r="K673" t="s">
        <v>46</v>
      </c>
      <c r="L673" s="1">
        <v>45108</v>
      </c>
      <c r="M673">
        <v>0.25779275484414499</v>
      </c>
      <c r="N673">
        <v>4.7077285209886201E-4</v>
      </c>
    </row>
    <row r="674" spans="1:14" x14ac:dyDescent="0.25">
      <c r="A674" t="s">
        <v>716</v>
      </c>
      <c r="B674">
        <v>7327</v>
      </c>
      <c r="C674">
        <v>2596</v>
      </c>
      <c r="D674">
        <v>15</v>
      </c>
      <c r="E674" t="s">
        <v>28</v>
      </c>
      <c r="F674" t="s">
        <v>50</v>
      </c>
      <c r="G674" t="s">
        <v>42</v>
      </c>
      <c r="H674" s="1">
        <v>45407</v>
      </c>
      <c r="I674" t="s">
        <v>717</v>
      </c>
      <c r="J674" t="s">
        <v>63</v>
      </c>
      <c r="K674" t="s">
        <v>64</v>
      </c>
      <c r="L674" s="1">
        <v>45383</v>
      </c>
      <c r="M674">
        <v>0.35430599153814701</v>
      </c>
      <c r="N674">
        <v>1.17693213024716E-3</v>
      </c>
    </row>
    <row r="675" spans="1:14" x14ac:dyDescent="0.25">
      <c r="A675" t="s">
        <v>716</v>
      </c>
      <c r="B675">
        <v>7327</v>
      </c>
      <c r="C675">
        <v>2596</v>
      </c>
      <c r="D675">
        <v>15</v>
      </c>
      <c r="E675" t="s">
        <v>28</v>
      </c>
      <c r="F675" t="s">
        <v>50</v>
      </c>
      <c r="G675" t="s">
        <v>42</v>
      </c>
      <c r="H675" s="1">
        <v>44995</v>
      </c>
      <c r="I675" t="s">
        <v>718</v>
      </c>
      <c r="J675" t="s">
        <v>63</v>
      </c>
      <c r="K675" t="s">
        <v>112</v>
      </c>
      <c r="L675" s="1">
        <v>44986</v>
      </c>
      <c r="M675">
        <v>0.35430599153814701</v>
      </c>
      <c r="N675">
        <v>1.17693213024716E-3</v>
      </c>
    </row>
    <row r="676" spans="1:14" x14ac:dyDescent="0.25">
      <c r="A676" t="s">
        <v>716</v>
      </c>
      <c r="B676">
        <v>7327</v>
      </c>
      <c r="C676">
        <v>2596</v>
      </c>
      <c r="D676">
        <v>15</v>
      </c>
      <c r="E676" t="s">
        <v>28</v>
      </c>
      <c r="F676" t="s">
        <v>50</v>
      </c>
      <c r="G676" t="s">
        <v>42</v>
      </c>
      <c r="H676" s="1">
        <v>45117</v>
      </c>
      <c r="I676" t="s">
        <v>719</v>
      </c>
      <c r="J676" t="s">
        <v>24</v>
      </c>
      <c r="K676" t="s">
        <v>46</v>
      </c>
      <c r="L676" s="1">
        <v>45108</v>
      </c>
      <c r="M676">
        <v>0.35430599153814701</v>
      </c>
      <c r="N676">
        <v>1.17693213024716E-3</v>
      </c>
    </row>
    <row r="677" spans="1:14" x14ac:dyDescent="0.25">
      <c r="A677" t="s">
        <v>720</v>
      </c>
      <c r="B677">
        <v>2239</v>
      </c>
      <c r="C677">
        <v>1094</v>
      </c>
      <c r="D677">
        <v>18</v>
      </c>
      <c r="E677" t="s">
        <v>14</v>
      </c>
      <c r="F677" t="s">
        <v>26</v>
      </c>
      <c r="G677" t="s">
        <v>57</v>
      </c>
      <c r="H677" s="1">
        <v>45501</v>
      </c>
      <c r="I677" t="s">
        <v>721</v>
      </c>
      <c r="J677" t="s">
        <v>18</v>
      </c>
      <c r="K677" t="s">
        <v>122</v>
      </c>
      <c r="L677" s="1">
        <v>45474</v>
      </c>
      <c r="M677">
        <v>0.48861098704778899</v>
      </c>
      <c r="N677">
        <v>1.41231855629659E-3</v>
      </c>
    </row>
    <row r="678" spans="1:14" x14ac:dyDescent="0.25">
      <c r="A678" t="s">
        <v>720</v>
      </c>
      <c r="B678">
        <v>4932</v>
      </c>
      <c r="C678">
        <v>1153</v>
      </c>
      <c r="D678">
        <v>1</v>
      </c>
      <c r="E678" t="s">
        <v>28</v>
      </c>
      <c r="F678" t="s">
        <v>50</v>
      </c>
      <c r="G678" t="s">
        <v>57</v>
      </c>
      <c r="H678" s="1">
        <v>45501</v>
      </c>
      <c r="I678" t="s">
        <v>721</v>
      </c>
      <c r="J678" t="s">
        <v>18</v>
      </c>
      <c r="K678" t="s">
        <v>122</v>
      </c>
      <c r="L678" s="1">
        <v>45474</v>
      </c>
      <c r="M678">
        <v>0.233779399837794</v>
      </c>
      <c r="N678">
        <v>7.8462142016476997E-5</v>
      </c>
    </row>
    <row r="679" spans="1:14" x14ac:dyDescent="0.25">
      <c r="A679" t="s">
        <v>722</v>
      </c>
      <c r="B679">
        <v>4609</v>
      </c>
      <c r="C679">
        <v>1084</v>
      </c>
      <c r="D679">
        <v>8</v>
      </c>
      <c r="E679" t="s">
        <v>14</v>
      </c>
      <c r="F679" t="s">
        <v>26</v>
      </c>
      <c r="G679" t="s">
        <v>16</v>
      </c>
      <c r="H679" s="1">
        <v>45137</v>
      </c>
      <c r="I679" t="s">
        <v>723</v>
      </c>
      <c r="J679" t="s">
        <v>18</v>
      </c>
      <c r="K679" t="s">
        <v>32</v>
      </c>
      <c r="L679" s="1">
        <v>45108</v>
      </c>
      <c r="M679">
        <v>0.23519201562160999</v>
      </c>
      <c r="N679">
        <v>6.2769713613181597E-4</v>
      </c>
    </row>
    <row r="680" spans="1:14" x14ac:dyDescent="0.25">
      <c r="A680" t="s">
        <v>722</v>
      </c>
      <c r="B680">
        <v>2328</v>
      </c>
      <c r="C680">
        <v>788</v>
      </c>
      <c r="D680">
        <v>4</v>
      </c>
      <c r="E680" t="s">
        <v>28</v>
      </c>
      <c r="F680" t="s">
        <v>56</v>
      </c>
      <c r="G680" t="s">
        <v>16</v>
      </c>
      <c r="H680" s="1">
        <v>45137</v>
      </c>
      <c r="I680" t="s">
        <v>723</v>
      </c>
      <c r="J680" t="s">
        <v>18</v>
      </c>
      <c r="K680" t="s">
        <v>32</v>
      </c>
      <c r="L680" s="1">
        <v>45108</v>
      </c>
      <c r="M680">
        <v>0.33848797250859097</v>
      </c>
      <c r="N680">
        <v>3.1384856806590799E-4</v>
      </c>
    </row>
    <row r="681" spans="1:14" x14ac:dyDescent="0.25">
      <c r="A681" t="s">
        <v>722</v>
      </c>
      <c r="B681">
        <v>4734</v>
      </c>
      <c r="C681">
        <v>958</v>
      </c>
      <c r="D681">
        <v>7</v>
      </c>
      <c r="E681" t="s">
        <v>14</v>
      </c>
      <c r="F681" t="s">
        <v>26</v>
      </c>
      <c r="G681" t="s">
        <v>30</v>
      </c>
      <c r="H681" s="1">
        <v>45137</v>
      </c>
      <c r="I681" t="s">
        <v>723</v>
      </c>
      <c r="J681" t="s">
        <v>18</v>
      </c>
      <c r="K681" t="s">
        <v>32</v>
      </c>
      <c r="L681" s="1">
        <v>45108</v>
      </c>
      <c r="M681">
        <v>0.202365863962822</v>
      </c>
      <c r="N681">
        <v>5.4923499411533899E-4</v>
      </c>
    </row>
    <row r="682" spans="1:14" x14ac:dyDescent="0.25">
      <c r="A682" t="s">
        <v>724</v>
      </c>
      <c r="B682">
        <v>1388</v>
      </c>
      <c r="C682">
        <v>345</v>
      </c>
      <c r="D682">
        <v>5</v>
      </c>
      <c r="E682" t="s">
        <v>40</v>
      </c>
      <c r="F682" t="s">
        <v>52</v>
      </c>
      <c r="G682" t="s">
        <v>16</v>
      </c>
      <c r="H682" s="1">
        <v>45570</v>
      </c>
      <c r="I682" t="s">
        <v>725</v>
      </c>
      <c r="J682" t="s">
        <v>24</v>
      </c>
      <c r="K682" t="s">
        <v>46</v>
      </c>
      <c r="L682" s="1">
        <v>45566</v>
      </c>
      <c r="M682">
        <v>0.248559077809798</v>
      </c>
      <c r="N682">
        <v>3.9231071008238503E-4</v>
      </c>
    </row>
    <row r="683" spans="1:14" x14ac:dyDescent="0.25">
      <c r="A683" t="s">
        <v>724</v>
      </c>
      <c r="B683">
        <v>8555</v>
      </c>
      <c r="C683">
        <v>1638</v>
      </c>
      <c r="D683">
        <v>8</v>
      </c>
      <c r="E683" t="s">
        <v>14</v>
      </c>
      <c r="F683" t="s">
        <v>35</v>
      </c>
      <c r="G683" t="s">
        <v>42</v>
      </c>
      <c r="H683" s="1">
        <v>45570</v>
      </c>
      <c r="I683" t="s">
        <v>725</v>
      </c>
      <c r="J683" t="s">
        <v>24</v>
      </c>
      <c r="K683" t="s">
        <v>46</v>
      </c>
      <c r="L683" s="1">
        <v>45566</v>
      </c>
      <c r="M683">
        <v>0.191466978375219</v>
      </c>
      <c r="N683">
        <v>6.2769713613181597E-4</v>
      </c>
    </row>
    <row r="684" spans="1:14" x14ac:dyDescent="0.25">
      <c r="A684" t="s">
        <v>726</v>
      </c>
      <c r="B684">
        <v>9024</v>
      </c>
      <c r="C684">
        <v>730</v>
      </c>
      <c r="D684">
        <v>4</v>
      </c>
      <c r="E684" t="s">
        <v>40</v>
      </c>
      <c r="F684" t="s">
        <v>41</v>
      </c>
      <c r="G684" t="s">
        <v>42</v>
      </c>
      <c r="H684" s="1">
        <v>45342</v>
      </c>
      <c r="I684" t="s">
        <v>727</v>
      </c>
      <c r="J684" t="s">
        <v>63</v>
      </c>
      <c r="K684" t="s">
        <v>64</v>
      </c>
      <c r="L684" s="1">
        <v>45323</v>
      </c>
      <c r="M684">
        <v>8.0895390070922002E-2</v>
      </c>
      <c r="N684">
        <v>3.1384856806590799E-4</v>
      </c>
    </row>
    <row r="685" spans="1:14" x14ac:dyDescent="0.25">
      <c r="A685" t="s">
        <v>726</v>
      </c>
      <c r="B685">
        <v>2468</v>
      </c>
      <c r="C685">
        <v>418</v>
      </c>
      <c r="D685">
        <v>4</v>
      </c>
      <c r="E685" t="s">
        <v>14</v>
      </c>
      <c r="F685" t="s">
        <v>35</v>
      </c>
      <c r="G685" t="s">
        <v>42</v>
      </c>
      <c r="H685" s="1">
        <v>45342</v>
      </c>
      <c r="I685" t="s">
        <v>727</v>
      </c>
      <c r="J685" t="s">
        <v>63</v>
      </c>
      <c r="K685" t="s">
        <v>64</v>
      </c>
      <c r="L685" s="1">
        <v>45323</v>
      </c>
      <c r="M685">
        <v>0.16936790923824999</v>
      </c>
      <c r="N685">
        <v>3.1384856806590799E-4</v>
      </c>
    </row>
    <row r="686" spans="1:14" x14ac:dyDescent="0.25">
      <c r="A686" t="s">
        <v>728</v>
      </c>
      <c r="B686">
        <v>9438</v>
      </c>
      <c r="C686">
        <v>1801</v>
      </c>
      <c r="D686">
        <v>4</v>
      </c>
      <c r="E686" t="s">
        <v>14</v>
      </c>
      <c r="F686" t="s">
        <v>15</v>
      </c>
      <c r="G686" t="s">
        <v>57</v>
      </c>
      <c r="H686" s="1">
        <v>45035</v>
      </c>
      <c r="I686" t="s">
        <v>729</v>
      </c>
      <c r="J686" t="s">
        <v>18</v>
      </c>
      <c r="K686" t="s">
        <v>32</v>
      </c>
      <c r="L686" s="1">
        <v>45017</v>
      </c>
      <c r="M686">
        <v>0.19082432718796399</v>
      </c>
      <c r="N686">
        <v>3.1384856806590799E-4</v>
      </c>
    </row>
    <row r="687" spans="1:14" x14ac:dyDescent="0.25">
      <c r="A687" t="s">
        <v>728</v>
      </c>
      <c r="B687">
        <v>9438</v>
      </c>
      <c r="C687">
        <v>1801</v>
      </c>
      <c r="D687">
        <v>4</v>
      </c>
      <c r="E687" t="s">
        <v>14</v>
      </c>
      <c r="F687" t="s">
        <v>15</v>
      </c>
      <c r="G687" t="s">
        <v>57</v>
      </c>
      <c r="H687" s="1">
        <v>45228</v>
      </c>
      <c r="I687" t="s">
        <v>730</v>
      </c>
      <c r="J687" t="s">
        <v>63</v>
      </c>
      <c r="K687" t="s">
        <v>75</v>
      </c>
      <c r="L687" s="1">
        <v>45200</v>
      </c>
      <c r="M687">
        <v>0.19082432718796399</v>
      </c>
      <c r="N687">
        <v>3.1384856806590799E-4</v>
      </c>
    </row>
    <row r="688" spans="1:14" x14ac:dyDescent="0.25">
      <c r="A688" t="s">
        <v>731</v>
      </c>
      <c r="B688">
        <v>2685</v>
      </c>
      <c r="C688">
        <v>379</v>
      </c>
      <c r="D688">
        <v>18</v>
      </c>
      <c r="E688" t="s">
        <v>14</v>
      </c>
      <c r="F688" t="s">
        <v>71</v>
      </c>
      <c r="G688" t="s">
        <v>16</v>
      </c>
      <c r="H688" s="1">
        <v>44628</v>
      </c>
      <c r="I688" t="s">
        <v>732</v>
      </c>
      <c r="J688" t="s">
        <v>83</v>
      </c>
      <c r="K688" t="s">
        <v>98</v>
      </c>
      <c r="L688" s="1">
        <v>44621</v>
      </c>
      <c r="M688">
        <v>0.14115456238361301</v>
      </c>
      <c r="N688">
        <v>1.41231855629659E-3</v>
      </c>
    </row>
    <row r="689" spans="1:14" x14ac:dyDescent="0.25">
      <c r="A689" t="s">
        <v>731</v>
      </c>
      <c r="B689">
        <v>2685</v>
      </c>
      <c r="C689">
        <v>379</v>
      </c>
      <c r="D689">
        <v>18</v>
      </c>
      <c r="E689" t="s">
        <v>14</v>
      </c>
      <c r="F689" t="s">
        <v>71</v>
      </c>
      <c r="G689" t="s">
        <v>16</v>
      </c>
      <c r="H689" s="1">
        <v>44903</v>
      </c>
      <c r="I689" t="s">
        <v>733</v>
      </c>
      <c r="J689" t="s">
        <v>18</v>
      </c>
      <c r="K689" t="s">
        <v>122</v>
      </c>
      <c r="L689" s="1">
        <v>44896</v>
      </c>
      <c r="M689">
        <v>0.14115456238361301</v>
      </c>
      <c r="N689">
        <v>1.41231855629659E-3</v>
      </c>
    </row>
    <row r="690" spans="1:14" x14ac:dyDescent="0.25">
      <c r="A690" t="s">
        <v>731</v>
      </c>
      <c r="B690">
        <v>9916</v>
      </c>
      <c r="C690">
        <v>4602</v>
      </c>
      <c r="D690">
        <v>14</v>
      </c>
      <c r="E690" t="s">
        <v>40</v>
      </c>
      <c r="F690" t="s">
        <v>44</v>
      </c>
      <c r="G690" t="s">
        <v>16</v>
      </c>
      <c r="H690" s="1">
        <v>44628</v>
      </c>
      <c r="I690" t="s">
        <v>732</v>
      </c>
      <c r="J690" t="s">
        <v>83</v>
      </c>
      <c r="K690" t="s">
        <v>98</v>
      </c>
      <c r="L690" s="1">
        <v>44621</v>
      </c>
      <c r="M690">
        <v>0.46409842678499402</v>
      </c>
      <c r="N690">
        <v>1.0984699882306799E-3</v>
      </c>
    </row>
    <row r="691" spans="1:14" x14ac:dyDescent="0.25">
      <c r="A691" t="s">
        <v>731</v>
      </c>
      <c r="B691">
        <v>9916</v>
      </c>
      <c r="C691">
        <v>4602</v>
      </c>
      <c r="D691">
        <v>14</v>
      </c>
      <c r="E691" t="s">
        <v>40</v>
      </c>
      <c r="F691" t="s">
        <v>44</v>
      </c>
      <c r="G691" t="s">
        <v>16</v>
      </c>
      <c r="H691" s="1">
        <v>44903</v>
      </c>
      <c r="I691" t="s">
        <v>733</v>
      </c>
      <c r="J691" t="s">
        <v>18</v>
      </c>
      <c r="K691" t="s">
        <v>122</v>
      </c>
      <c r="L691" s="1">
        <v>44896</v>
      </c>
      <c r="M691">
        <v>0.46409842678499402</v>
      </c>
      <c r="N691">
        <v>1.0984699882306799E-3</v>
      </c>
    </row>
    <row r="692" spans="1:14" x14ac:dyDescent="0.25">
      <c r="A692" t="s">
        <v>731</v>
      </c>
      <c r="B692">
        <v>6184</v>
      </c>
      <c r="C692">
        <v>50</v>
      </c>
      <c r="D692">
        <v>14</v>
      </c>
      <c r="E692" t="s">
        <v>14</v>
      </c>
      <c r="F692" t="s">
        <v>15</v>
      </c>
      <c r="G692" t="s">
        <v>42</v>
      </c>
      <c r="H692" s="1">
        <v>44628</v>
      </c>
      <c r="I692" t="s">
        <v>732</v>
      </c>
      <c r="J692" t="s">
        <v>83</v>
      </c>
      <c r="K692" t="s">
        <v>98</v>
      </c>
      <c r="L692" s="1">
        <v>44621</v>
      </c>
      <c r="M692">
        <v>8.0853816300129402E-3</v>
      </c>
      <c r="N692">
        <v>1.0984699882306799E-3</v>
      </c>
    </row>
    <row r="693" spans="1:14" x14ac:dyDescent="0.25">
      <c r="A693" t="s">
        <v>731</v>
      </c>
      <c r="B693">
        <v>6184</v>
      </c>
      <c r="C693">
        <v>50</v>
      </c>
      <c r="D693">
        <v>14</v>
      </c>
      <c r="E693" t="s">
        <v>14</v>
      </c>
      <c r="F693" t="s">
        <v>15</v>
      </c>
      <c r="G693" t="s">
        <v>42</v>
      </c>
      <c r="H693" s="1">
        <v>44903</v>
      </c>
      <c r="I693" t="s">
        <v>733</v>
      </c>
      <c r="J693" t="s">
        <v>18</v>
      </c>
      <c r="K693" t="s">
        <v>122</v>
      </c>
      <c r="L693" s="1">
        <v>44896</v>
      </c>
      <c r="M693">
        <v>8.0853816300129402E-3</v>
      </c>
      <c r="N693">
        <v>1.0984699882306799E-3</v>
      </c>
    </row>
    <row r="694" spans="1:14" x14ac:dyDescent="0.25">
      <c r="A694" t="s">
        <v>731</v>
      </c>
      <c r="B694">
        <v>4548</v>
      </c>
      <c r="C694">
        <v>2135</v>
      </c>
      <c r="D694">
        <v>8</v>
      </c>
      <c r="E694" t="s">
        <v>28</v>
      </c>
      <c r="F694" t="s">
        <v>50</v>
      </c>
      <c r="G694" t="s">
        <v>30</v>
      </c>
      <c r="H694" s="1">
        <v>44628</v>
      </c>
      <c r="I694" t="s">
        <v>732</v>
      </c>
      <c r="J694" t="s">
        <v>83</v>
      </c>
      <c r="K694" t="s">
        <v>98</v>
      </c>
      <c r="L694" s="1">
        <v>44621</v>
      </c>
      <c r="M694">
        <v>0.46943711521547898</v>
      </c>
      <c r="N694">
        <v>6.2769713613181597E-4</v>
      </c>
    </row>
    <row r="695" spans="1:14" x14ac:dyDescent="0.25">
      <c r="A695" t="s">
        <v>731</v>
      </c>
      <c r="B695">
        <v>4548</v>
      </c>
      <c r="C695">
        <v>2135</v>
      </c>
      <c r="D695">
        <v>8</v>
      </c>
      <c r="E695" t="s">
        <v>28</v>
      </c>
      <c r="F695" t="s">
        <v>50</v>
      </c>
      <c r="G695" t="s">
        <v>30</v>
      </c>
      <c r="H695" s="1">
        <v>44903</v>
      </c>
      <c r="I695" t="s">
        <v>733</v>
      </c>
      <c r="J695" t="s">
        <v>18</v>
      </c>
      <c r="K695" t="s">
        <v>122</v>
      </c>
      <c r="L695" s="1">
        <v>44896</v>
      </c>
      <c r="M695">
        <v>0.46943711521547898</v>
      </c>
      <c r="N695">
        <v>6.2769713613181597E-4</v>
      </c>
    </row>
    <row r="696" spans="1:14" x14ac:dyDescent="0.25">
      <c r="A696" t="s">
        <v>734</v>
      </c>
      <c r="B696">
        <v>7195</v>
      </c>
      <c r="C696">
        <v>1665</v>
      </c>
      <c r="D696">
        <v>7</v>
      </c>
      <c r="E696" t="s">
        <v>28</v>
      </c>
      <c r="F696" t="s">
        <v>50</v>
      </c>
      <c r="G696" t="s">
        <v>57</v>
      </c>
      <c r="H696" s="1">
        <v>45500</v>
      </c>
      <c r="I696" t="s">
        <v>735</v>
      </c>
      <c r="J696" t="s">
        <v>24</v>
      </c>
      <c r="K696" t="s">
        <v>60</v>
      </c>
      <c r="L696" s="1">
        <v>45474</v>
      </c>
      <c r="M696">
        <v>0.231410701876303</v>
      </c>
      <c r="N696">
        <v>5.4923499411533899E-4</v>
      </c>
    </row>
    <row r="697" spans="1:14" x14ac:dyDescent="0.25">
      <c r="A697" t="s">
        <v>734</v>
      </c>
      <c r="B697">
        <v>7195</v>
      </c>
      <c r="C697">
        <v>1665</v>
      </c>
      <c r="D697">
        <v>7</v>
      </c>
      <c r="E697" t="s">
        <v>28</v>
      </c>
      <c r="F697" t="s">
        <v>50</v>
      </c>
      <c r="G697" t="s">
        <v>57</v>
      </c>
      <c r="H697" s="1">
        <v>44747</v>
      </c>
      <c r="I697" t="s">
        <v>736</v>
      </c>
      <c r="J697" t="s">
        <v>24</v>
      </c>
      <c r="K697" t="s">
        <v>25</v>
      </c>
      <c r="L697" s="1">
        <v>44743</v>
      </c>
      <c r="M697">
        <v>0.231410701876303</v>
      </c>
      <c r="N697">
        <v>5.4923499411533899E-4</v>
      </c>
    </row>
    <row r="698" spans="1:14" x14ac:dyDescent="0.25">
      <c r="A698" t="s">
        <v>737</v>
      </c>
      <c r="B698">
        <v>3098</v>
      </c>
      <c r="C698">
        <v>957</v>
      </c>
      <c r="D698">
        <v>18</v>
      </c>
      <c r="E698" t="s">
        <v>40</v>
      </c>
      <c r="F698" t="s">
        <v>91</v>
      </c>
      <c r="G698" t="s">
        <v>57</v>
      </c>
      <c r="H698" s="1">
        <v>45477</v>
      </c>
      <c r="I698" t="s">
        <v>738</v>
      </c>
      <c r="J698" t="s">
        <v>63</v>
      </c>
      <c r="K698" t="s">
        <v>75</v>
      </c>
      <c r="L698" s="1">
        <v>45474</v>
      </c>
      <c r="M698">
        <v>0.30890897353131003</v>
      </c>
      <c r="N698">
        <v>1.41231855629659E-3</v>
      </c>
    </row>
    <row r="699" spans="1:14" x14ac:dyDescent="0.25">
      <c r="A699" t="s">
        <v>739</v>
      </c>
      <c r="B699">
        <v>5412</v>
      </c>
      <c r="C699">
        <v>1192</v>
      </c>
      <c r="D699">
        <v>18</v>
      </c>
      <c r="E699" t="s">
        <v>40</v>
      </c>
      <c r="F699" t="s">
        <v>41</v>
      </c>
      <c r="G699" t="s">
        <v>42</v>
      </c>
      <c r="H699" s="1">
        <v>45350</v>
      </c>
      <c r="I699" t="s">
        <v>740</v>
      </c>
      <c r="J699" t="s">
        <v>38</v>
      </c>
      <c r="K699" t="s">
        <v>66</v>
      </c>
      <c r="L699" s="1">
        <v>45323</v>
      </c>
      <c r="M699">
        <v>0.22025129342202501</v>
      </c>
      <c r="N699">
        <v>1.41231855629659E-3</v>
      </c>
    </row>
    <row r="700" spans="1:14" x14ac:dyDescent="0.25">
      <c r="A700" t="s">
        <v>739</v>
      </c>
      <c r="B700">
        <v>5412</v>
      </c>
      <c r="C700">
        <v>1192</v>
      </c>
      <c r="D700">
        <v>18</v>
      </c>
      <c r="E700" t="s">
        <v>40</v>
      </c>
      <c r="F700" t="s">
        <v>41</v>
      </c>
      <c r="G700" t="s">
        <v>42</v>
      </c>
      <c r="H700" s="1">
        <v>45660</v>
      </c>
      <c r="I700" t="s">
        <v>741</v>
      </c>
      <c r="J700" t="s">
        <v>38</v>
      </c>
      <c r="K700" t="s">
        <v>39</v>
      </c>
      <c r="L700" s="1">
        <v>45658</v>
      </c>
      <c r="M700">
        <v>0.22025129342202501</v>
      </c>
      <c r="N700">
        <v>1.41231855629659E-3</v>
      </c>
    </row>
    <row r="701" spans="1:14" x14ac:dyDescent="0.25">
      <c r="A701" t="s">
        <v>742</v>
      </c>
      <c r="B701">
        <v>1397</v>
      </c>
      <c r="C701">
        <v>686</v>
      </c>
      <c r="D701">
        <v>11</v>
      </c>
      <c r="E701" t="s">
        <v>40</v>
      </c>
      <c r="F701" t="s">
        <v>44</v>
      </c>
      <c r="G701" t="s">
        <v>42</v>
      </c>
      <c r="H701" s="1">
        <v>44537</v>
      </c>
      <c r="I701" t="s">
        <v>743</v>
      </c>
      <c r="J701" t="s">
        <v>24</v>
      </c>
      <c r="K701" t="s">
        <v>46</v>
      </c>
      <c r="L701" s="1">
        <v>44531</v>
      </c>
      <c r="M701">
        <v>0.491052254831782</v>
      </c>
      <c r="N701">
        <v>8.6308356218124801E-4</v>
      </c>
    </row>
    <row r="702" spans="1:14" x14ac:dyDescent="0.25">
      <c r="A702" t="s">
        <v>744</v>
      </c>
      <c r="B702">
        <v>9279</v>
      </c>
      <c r="C702">
        <v>552</v>
      </c>
      <c r="D702">
        <v>14</v>
      </c>
      <c r="E702" t="s">
        <v>40</v>
      </c>
      <c r="F702" t="s">
        <v>44</v>
      </c>
      <c r="G702" t="s">
        <v>36</v>
      </c>
      <c r="H702" s="1">
        <v>44544</v>
      </c>
      <c r="I702" t="s">
        <v>745</v>
      </c>
      <c r="J702" t="s">
        <v>24</v>
      </c>
      <c r="K702" t="s">
        <v>25</v>
      </c>
      <c r="L702" s="1">
        <v>44531</v>
      </c>
      <c r="M702">
        <v>5.9489169091496902E-2</v>
      </c>
      <c r="N702">
        <v>1.0984699882306799E-3</v>
      </c>
    </row>
    <row r="703" spans="1:14" x14ac:dyDescent="0.25">
      <c r="A703" t="s">
        <v>744</v>
      </c>
      <c r="B703">
        <v>9279</v>
      </c>
      <c r="C703">
        <v>552</v>
      </c>
      <c r="D703">
        <v>14</v>
      </c>
      <c r="E703" t="s">
        <v>40</v>
      </c>
      <c r="F703" t="s">
        <v>44</v>
      </c>
      <c r="G703" t="s">
        <v>36</v>
      </c>
      <c r="H703" s="1">
        <v>44165</v>
      </c>
      <c r="I703" t="s">
        <v>746</v>
      </c>
      <c r="J703" t="s">
        <v>38</v>
      </c>
      <c r="K703" t="s">
        <v>79</v>
      </c>
      <c r="L703" s="1">
        <v>44136</v>
      </c>
      <c r="M703">
        <v>5.9489169091496902E-2</v>
      </c>
      <c r="N703">
        <v>1.0984699882306799E-3</v>
      </c>
    </row>
    <row r="704" spans="1:14" x14ac:dyDescent="0.25">
      <c r="A704" t="s">
        <v>744</v>
      </c>
      <c r="B704">
        <v>2596</v>
      </c>
      <c r="C704">
        <v>1003</v>
      </c>
      <c r="D704">
        <v>19</v>
      </c>
      <c r="E704" t="s">
        <v>28</v>
      </c>
      <c r="F704" t="s">
        <v>56</v>
      </c>
      <c r="G704" t="s">
        <v>42</v>
      </c>
      <c r="H704" s="1">
        <v>44544</v>
      </c>
      <c r="I704" t="s">
        <v>745</v>
      </c>
      <c r="J704" t="s">
        <v>24</v>
      </c>
      <c r="K704" t="s">
        <v>25</v>
      </c>
      <c r="L704" s="1">
        <v>44531</v>
      </c>
      <c r="M704">
        <v>0.38636363636363602</v>
      </c>
      <c r="N704">
        <v>1.4907806983130601E-3</v>
      </c>
    </row>
    <row r="705" spans="1:14" x14ac:dyDescent="0.25">
      <c r="A705" t="s">
        <v>744</v>
      </c>
      <c r="B705">
        <v>2596</v>
      </c>
      <c r="C705">
        <v>1003</v>
      </c>
      <c r="D705">
        <v>19</v>
      </c>
      <c r="E705" t="s">
        <v>28</v>
      </c>
      <c r="F705" t="s">
        <v>56</v>
      </c>
      <c r="G705" t="s">
        <v>42</v>
      </c>
      <c r="H705" s="1">
        <v>44165</v>
      </c>
      <c r="I705" t="s">
        <v>746</v>
      </c>
      <c r="J705" t="s">
        <v>38</v>
      </c>
      <c r="K705" t="s">
        <v>79</v>
      </c>
      <c r="L705" s="1">
        <v>44136</v>
      </c>
      <c r="M705">
        <v>0.38636363636363602</v>
      </c>
      <c r="N705">
        <v>1.4907806983130601E-3</v>
      </c>
    </row>
    <row r="706" spans="1:14" x14ac:dyDescent="0.25">
      <c r="A706" t="s">
        <v>747</v>
      </c>
      <c r="B706">
        <v>6732</v>
      </c>
      <c r="C706">
        <v>911</v>
      </c>
      <c r="D706">
        <v>19</v>
      </c>
      <c r="E706" t="s">
        <v>40</v>
      </c>
      <c r="F706" t="s">
        <v>91</v>
      </c>
      <c r="G706" t="s">
        <v>36</v>
      </c>
      <c r="H706" s="1">
        <v>44559</v>
      </c>
      <c r="I706" t="s">
        <v>748</v>
      </c>
      <c r="J706" t="s">
        <v>24</v>
      </c>
      <c r="K706" t="s">
        <v>25</v>
      </c>
      <c r="L706" s="1">
        <v>44531</v>
      </c>
      <c r="M706">
        <v>0.13532382650029701</v>
      </c>
      <c r="N706">
        <v>1.4907806983130601E-3</v>
      </c>
    </row>
    <row r="707" spans="1:14" x14ac:dyDescent="0.25">
      <c r="A707" t="s">
        <v>747</v>
      </c>
      <c r="B707">
        <v>4495</v>
      </c>
      <c r="C707">
        <v>1408</v>
      </c>
      <c r="D707">
        <v>14</v>
      </c>
      <c r="E707" t="s">
        <v>28</v>
      </c>
      <c r="F707" t="s">
        <v>29</v>
      </c>
      <c r="G707" t="s">
        <v>36</v>
      </c>
      <c r="H707" s="1">
        <v>44559</v>
      </c>
      <c r="I707" t="s">
        <v>748</v>
      </c>
      <c r="J707" t="s">
        <v>24</v>
      </c>
      <c r="K707" t="s">
        <v>25</v>
      </c>
      <c r="L707" s="1">
        <v>44531</v>
      </c>
      <c r="M707">
        <v>0.31323692992213598</v>
      </c>
      <c r="N707">
        <v>1.0984699882306799E-3</v>
      </c>
    </row>
    <row r="708" spans="1:14" x14ac:dyDescent="0.25">
      <c r="A708" t="s">
        <v>749</v>
      </c>
      <c r="B708">
        <v>9653</v>
      </c>
      <c r="C708">
        <v>2471</v>
      </c>
      <c r="D708">
        <v>6</v>
      </c>
      <c r="E708" t="s">
        <v>28</v>
      </c>
      <c r="F708" t="s">
        <v>56</v>
      </c>
      <c r="G708" t="s">
        <v>16</v>
      </c>
      <c r="H708" s="1">
        <v>45481</v>
      </c>
      <c r="I708" t="s">
        <v>750</v>
      </c>
      <c r="J708" t="s">
        <v>24</v>
      </c>
      <c r="K708" t="s">
        <v>25</v>
      </c>
      <c r="L708" s="1">
        <v>45474</v>
      </c>
      <c r="M708">
        <v>0.255982596084119</v>
      </c>
      <c r="N708">
        <v>4.7077285209886201E-4</v>
      </c>
    </row>
    <row r="709" spans="1:14" x14ac:dyDescent="0.25">
      <c r="A709" t="s">
        <v>751</v>
      </c>
      <c r="B709">
        <v>8945</v>
      </c>
      <c r="C709">
        <v>1728</v>
      </c>
      <c r="D709">
        <v>10</v>
      </c>
      <c r="E709" t="s">
        <v>40</v>
      </c>
      <c r="F709" t="s">
        <v>41</v>
      </c>
      <c r="G709" t="s">
        <v>16</v>
      </c>
      <c r="H709" s="1">
        <v>44237</v>
      </c>
      <c r="I709" t="s">
        <v>752</v>
      </c>
      <c r="J709" t="s">
        <v>21</v>
      </c>
      <c r="K709" t="s">
        <v>138</v>
      </c>
      <c r="L709" s="1">
        <v>44228</v>
      </c>
      <c r="M709">
        <v>0.19318054779206301</v>
      </c>
      <c r="N709">
        <v>7.8462142016477005E-4</v>
      </c>
    </row>
    <row r="710" spans="1:14" x14ac:dyDescent="0.25">
      <c r="A710" t="s">
        <v>753</v>
      </c>
      <c r="B710">
        <v>4007</v>
      </c>
      <c r="C710">
        <v>201</v>
      </c>
      <c r="D710">
        <v>13</v>
      </c>
      <c r="E710" t="s">
        <v>40</v>
      </c>
      <c r="F710" t="s">
        <v>91</v>
      </c>
      <c r="G710" t="s">
        <v>57</v>
      </c>
      <c r="H710" s="1">
        <v>44125</v>
      </c>
      <c r="I710" t="s">
        <v>754</v>
      </c>
      <c r="J710" t="s">
        <v>83</v>
      </c>
      <c r="K710" t="s">
        <v>84</v>
      </c>
      <c r="L710" s="1">
        <v>44105</v>
      </c>
      <c r="M710">
        <v>5.0162216121786903E-2</v>
      </c>
      <c r="N710">
        <v>1.0200078462141999E-3</v>
      </c>
    </row>
    <row r="711" spans="1:14" x14ac:dyDescent="0.25">
      <c r="A711" t="s">
        <v>753</v>
      </c>
      <c r="B711">
        <v>4007</v>
      </c>
      <c r="C711">
        <v>201</v>
      </c>
      <c r="D711">
        <v>13</v>
      </c>
      <c r="E711" t="s">
        <v>40</v>
      </c>
      <c r="F711" t="s">
        <v>91</v>
      </c>
      <c r="G711" t="s">
        <v>57</v>
      </c>
      <c r="H711" s="1">
        <v>45033</v>
      </c>
      <c r="I711" t="s">
        <v>755</v>
      </c>
      <c r="J711" t="s">
        <v>63</v>
      </c>
      <c r="K711" t="s">
        <v>64</v>
      </c>
      <c r="L711" s="1">
        <v>45017</v>
      </c>
      <c r="M711">
        <v>5.0162216121786903E-2</v>
      </c>
      <c r="N711">
        <v>1.0200078462141999E-3</v>
      </c>
    </row>
    <row r="712" spans="1:14" x14ac:dyDescent="0.25">
      <c r="A712" t="s">
        <v>756</v>
      </c>
      <c r="B712">
        <v>810</v>
      </c>
      <c r="C712">
        <v>231</v>
      </c>
      <c r="D712">
        <v>18</v>
      </c>
      <c r="E712" t="s">
        <v>40</v>
      </c>
      <c r="F712" t="s">
        <v>91</v>
      </c>
      <c r="G712" t="s">
        <v>36</v>
      </c>
      <c r="H712" s="1">
        <v>44125</v>
      </c>
      <c r="I712" t="s">
        <v>757</v>
      </c>
      <c r="J712" t="s">
        <v>18</v>
      </c>
      <c r="K712" t="s">
        <v>122</v>
      </c>
      <c r="L712" s="1">
        <v>44105</v>
      </c>
      <c r="M712">
        <v>0.28518518518518499</v>
      </c>
      <c r="N712">
        <v>1.41231855629659E-3</v>
      </c>
    </row>
    <row r="713" spans="1:14" x14ac:dyDescent="0.25">
      <c r="A713" t="s">
        <v>758</v>
      </c>
      <c r="B713">
        <v>9789</v>
      </c>
      <c r="C713">
        <v>2071</v>
      </c>
      <c r="D713">
        <v>18</v>
      </c>
      <c r="E713" t="s">
        <v>40</v>
      </c>
      <c r="F713" t="s">
        <v>91</v>
      </c>
      <c r="G713" t="s">
        <v>30</v>
      </c>
      <c r="H713" s="1">
        <v>45288</v>
      </c>
      <c r="I713" t="s">
        <v>759</v>
      </c>
      <c r="J713" t="s">
        <v>24</v>
      </c>
      <c r="K713" t="s">
        <v>60</v>
      </c>
      <c r="L713" s="1">
        <v>45261</v>
      </c>
      <c r="M713">
        <v>0.211564000408622</v>
      </c>
      <c r="N713">
        <v>1.41231855629659E-3</v>
      </c>
    </row>
    <row r="714" spans="1:14" x14ac:dyDescent="0.25">
      <c r="A714" t="s">
        <v>758</v>
      </c>
      <c r="B714">
        <v>9229</v>
      </c>
      <c r="C714">
        <v>4090</v>
      </c>
      <c r="D714">
        <v>8</v>
      </c>
      <c r="E714" t="s">
        <v>14</v>
      </c>
      <c r="F714" t="s">
        <v>15</v>
      </c>
      <c r="G714" t="s">
        <v>57</v>
      </c>
      <c r="H714" s="1">
        <v>45288</v>
      </c>
      <c r="I714" t="s">
        <v>759</v>
      </c>
      <c r="J714" t="s">
        <v>24</v>
      </c>
      <c r="K714" t="s">
        <v>60</v>
      </c>
      <c r="L714" s="1">
        <v>45261</v>
      </c>
      <c r="M714">
        <v>0.44316827391916802</v>
      </c>
      <c r="N714">
        <v>6.2769713613181597E-4</v>
      </c>
    </row>
    <row r="715" spans="1:14" x14ac:dyDescent="0.25">
      <c r="A715" t="s">
        <v>760</v>
      </c>
      <c r="B715">
        <v>8141</v>
      </c>
      <c r="C715">
        <v>3968</v>
      </c>
      <c r="D715">
        <v>18</v>
      </c>
      <c r="E715" t="s">
        <v>28</v>
      </c>
      <c r="F715" t="s">
        <v>50</v>
      </c>
      <c r="G715" t="s">
        <v>30</v>
      </c>
      <c r="H715" s="1">
        <v>44918</v>
      </c>
      <c r="I715" t="s">
        <v>761</v>
      </c>
      <c r="J715" t="s">
        <v>24</v>
      </c>
      <c r="K715" t="s">
        <v>60</v>
      </c>
      <c r="L715" s="1">
        <v>44896</v>
      </c>
      <c r="M715">
        <v>0.48740940916349301</v>
      </c>
      <c r="N715">
        <v>1.41231855629659E-3</v>
      </c>
    </row>
    <row r="716" spans="1:14" x14ac:dyDescent="0.25">
      <c r="A716" t="s">
        <v>760</v>
      </c>
      <c r="B716">
        <v>8141</v>
      </c>
      <c r="C716">
        <v>3968</v>
      </c>
      <c r="D716">
        <v>18</v>
      </c>
      <c r="E716" t="s">
        <v>28</v>
      </c>
      <c r="F716" t="s">
        <v>50</v>
      </c>
      <c r="G716" t="s">
        <v>30</v>
      </c>
      <c r="H716" s="1">
        <v>44783</v>
      </c>
      <c r="I716" t="s">
        <v>762</v>
      </c>
      <c r="J716" t="s">
        <v>21</v>
      </c>
      <c r="K716" t="s">
        <v>138</v>
      </c>
      <c r="L716" s="1">
        <v>44774</v>
      </c>
      <c r="M716">
        <v>0.48740940916349301</v>
      </c>
      <c r="N716">
        <v>1.41231855629659E-3</v>
      </c>
    </row>
    <row r="717" spans="1:14" x14ac:dyDescent="0.25">
      <c r="A717" t="s">
        <v>760</v>
      </c>
      <c r="B717">
        <v>1067</v>
      </c>
      <c r="C717">
        <v>251</v>
      </c>
      <c r="D717">
        <v>14</v>
      </c>
      <c r="E717" t="s">
        <v>40</v>
      </c>
      <c r="F717" t="s">
        <v>52</v>
      </c>
      <c r="G717" t="s">
        <v>36</v>
      </c>
      <c r="H717" s="1">
        <v>44918</v>
      </c>
      <c r="I717" t="s">
        <v>761</v>
      </c>
      <c r="J717" t="s">
        <v>24</v>
      </c>
      <c r="K717" t="s">
        <v>60</v>
      </c>
      <c r="L717" s="1">
        <v>44896</v>
      </c>
      <c r="M717">
        <v>0.235238987816307</v>
      </c>
      <c r="N717">
        <v>1.0984699882306799E-3</v>
      </c>
    </row>
    <row r="718" spans="1:14" x14ac:dyDescent="0.25">
      <c r="A718" t="s">
        <v>760</v>
      </c>
      <c r="B718">
        <v>1067</v>
      </c>
      <c r="C718">
        <v>251</v>
      </c>
      <c r="D718">
        <v>14</v>
      </c>
      <c r="E718" t="s">
        <v>40</v>
      </c>
      <c r="F718" t="s">
        <v>52</v>
      </c>
      <c r="G718" t="s">
        <v>36</v>
      </c>
      <c r="H718" s="1">
        <v>44783</v>
      </c>
      <c r="I718" t="s">
        <v>762</v>
      </c>
      <c r="J718" t="s">
        <v>21</v>
      </c>
      <c r="K718" t="s">
        <v>138</v>
      </c>
      <c r="L718" s="1">
        <v>44774</v>
      </c>
      <c r="M718">
        <v>0.235238987816307</v>
      </c>
      <c r="N718">
        <v>1.0984699882306799E-3</v>
      </c>
    </row>
    <row r="719" spans="1:14" x14ac:dyDescent="0.25">
      <c r="A719" t="s">
        <v>763</v>
      </c>
      <c r="B719">
        <v>3839</v>
      </c>
      <c r="C719">
        <v>1415</v>
      </c>
      <c r="D719">
        <v>10</v>
      </c>
      <c r="E719" t="s">
        <v>28</v>
      </c>
      <c r="F719" t="s">
        <v>68</v>
      </c>
      <c r="G719" t="s">
        <v>16</v>
      </c>
      <c r="H719" s="1">
        <v>45216</v>
      </c>
      <c r="I719" t="s">
        <v>764</v>
      </c>
      <c r="J719" t="s">
        <v>38</v>
      </c>
      <c r="K719" t="s">
        <v>39</v>
      </c>
      <c r="L719" s="1">
        <v>45200</v>
      </c>
      <c r="M719">
        <v>0.368585569158635</v>
      </c>
      <c r="N719">
        <v>7.8462142016477005E-4</v>
      </c>
    </row>
    <row r="720" spans="1:14" x14ac:dyDescent="0.25">
      <c r="A720" t="s">
        <v>763</v>
      </c>
      <c r="B720">
        <v>3839</v>
      </c>
      <c r="C720">
        <v>1415</v>
      </c>
      <c r="D720">
        <v>10</v>
      </c>
      <c r="E720" t="s">
        <v>28</v>
      </c>
      <c r="F720" t="s">
        <v>68</v>
      </c>
      <c r="G720" t="s">
        <v>16</v>
      </c>
      <c r="H720" s="1">
        <v>44620</v>
      </c>
      <c r="I720" t="s">
        <v>765</v>
      </c>
      <c r="J720" t="s">
        <v>18</v>
      </c>
      <c r="K720" t="s">
        <v>32</v>
      </c>
      <c r="L720" s="1">
        <v>44593</v>
      </c>
      <c r="M720">
        <v>0.368585569158635</v>
      </c>
      <c r="N720">
        <v>7.8462142016477005E-4</v>
      </c>
    </row>
    <row r="721" spans="1:14" x14ac:dyDescent="0.25">
      <c r="A721" t="s">
        <v>766</v>
      </c>
      <c r="B721">
        <v>2858</v>
      </c>
      <c r="C721">
        <v>482</v>
      </c>
      <c r="D721">
        <v>13</v>
      </c>
      <c r="E721" t="s">
        <v>14</v>
      </c>
      <c r="F721" t="s">
        <v>15</v>
      </c>
      <c r="G721" t="s">
        <v>57</v>
      </c>
      <c r="H721" s="1">
        <v>45436</v>
      </c>
      <c r="I721" t="s">
        <v>767</v>
      </c>
      <c r="J721" t="s">
        <v>63</v>
      </c>
      <c r="K721" t="s">
        <v>75</v>
      </c>
      <c r="L721" s="1">
        <v>45413</v>
      </c>
      <c r="M721">
        <v>0.16864940517844601</v>
      </c>
      <c r="N721">
        <v>1.0200078462141999E-3</v>
      </c>
    </row>
    <row r="722" spans="1:14" x14ac:dyDescent="0.25">
      <c r="A722" t="s">
        <v>768</v>
      </c>
      <c r="B722">
        <v>2137</v>
      </c>
      <c r="C722">
        <v>638</v>
      </c>
      <c r="D722">
        <v>12</v>
      </c>
      <c r="E722" t="s">
        <v>40</v>
      </c>
      <c r="F722" t="s">
        <v>91</v>
      </c>
      <c r="G722" t="s">
        <v>30</v>
      </c>
      <c r="H722" s="1">
        <v>44106</v>
      </c>
      <c r="I722" t="s">
        <v>769</v>
      </c>
      <c r="J722" t="s">
        <v>24</v>
      </c>
      <c r="K722" t="s">
        <v>46</v>
      </c>
      <c r="L722" s="1">
        <v>44105</v>
      </c>
      <c r="M722">
        <v>0.29854936827327999</v>
      </c>
      <c r="N722">
        <v>9.4154570419772402E-4</v>
      </c>
    </row>
    <row r="723" spans="1:14" x14ac:dyDescent="0.25">
      <c r="A723" t="s">
        <v>768</v>
      </c>
      <c r="B723">
        <v>2831</v>
      </c>
      <c r="C723">
        <v>1289</v>
      </c>
      <c r="D723">
        <v>12</v>
      </c>
      <c r="E723" t="s">
        <v>40</v>
      </c>
      <c r="F723" t="s">
        <v>44</v>
      </c>
      <c r="G723" t="s">
        <v>30</v>
      </c>
      <c r="H723" s="1">
        <v>44106</v>
      </c>
      <c r="I723" t="s">
        <v>769</v>
      </c>
      <c r="J723" t="s">
        <v>24</v>
      </c>
      <c r="K723" t="s">
        <v>46</v>
      </c>
      <c r="L723" s="1">
        <v>44105</v>
      </c>
      <c r="M723">
        <v>0.45531614270575799</v>
      </c>
      <c r="N723">
        <v>9.4154570419772402E-4</v>
      </c>
    </row>
    <row r="724" spans="1:14" x14ac:dyDescent="0.25">
      <c r="A724" t="s">
        <v>770</v>
      </c>
      <c r="B724">
        <v>3913</v>
      </c>
      <c r="C724">
        <v>961</v>
      </c>
      <c r="D724">
        <v>15</v>
      </c>
      <c r="E724" t="s">
        <v>40</v>
      </c>
      <c r="F724" t="s">
        <v>52</v>
      </c>
      <c r="G724" t="s">
        <v>16</v>
      </c>
      <c r="H724" s="1">
        <v>45332</v>
      </c>
      <c r="I724" t="s">
        <v>771</v>
      </c>
      <c r="J724" t="s">
        <v>83</v>
      </c>
      <c r="K724" t="s">
        <v>84</v>
      </c>
      <c r="L724" s="1">
        <v>45323</v>
      </c>
      <c r="M724">
        <v>0.24559161768464099</v>
      </c>
      <c r="N724">
        <v>1.17693213024716E-3</v>
      </c>
    </row>
    <row r="725" spans="1:14" x14ac:dyDescent="0.25">
      <c r="A725" t="s">
        <v>770</v>
      </c>
      <c r="B725">
        <v>3913</v>
      </c>
      <c r="C725">
        <v>961</v>
      </c>
      <c r="D725">
        <v>15</v>
      </c>
      <c r="E725" t="s">
        <v>40</v>
      </c>
      <c r="F725" t="s">
        <v>52</v>
      </c>
      <c r="G725" t="s">
        <v>16</v>
      </c>
      <c r="H725" s="1">
        <v>44233</v>
      </c>
      <c r="I725" t="s">
        <v>772</v>
      </c>
      <c r="J725" t="s">
        <v>38</v>
      </c>
      <c r="K725" t="s">
        <v>79</v>
      </c>
      <c r="L725" s="1">
        <v>44228</v>
      </c>
      <c r="M725">
        <v>0.24559161768464099</v>
      </c>
      <c r="N725">
        <v>1.17693213024716E-3</v>
      </c>
    </row>
    <row r="726" spans="1:14" x14ac:dyDescent="0.25">
      <c r="A726" t="s">
        <v>773</v>
      </c>
      <c r="B726">
        <v>4468</v>
      </c>
      <c r="C726">
        <v>1940</v>
      </c>
      <c r="D726">
        <v>9</v>
      </c>
      <c r="E726" t="s">
        <v>28</v>
      </c>
      <c r="F726" t="s">
        <v>56</v>
      </c>
      <c r="G726" t="s">
        <v>57</v>
      </c>
      <c r="H726" s="1">
        <v>44636</v>
      </c>
      <c r="I726" t="s">
        <v>774</v>
      </c>
      <c r="J726" t="s">
        <v>18</v>
      </c>
      <c r="K726" t="s">
        <v>122</v>
      </c>
      <c r="L726" s="1">
        <v>44621</v>
      </c>
      <c r="M726">
        <v>0.43419874664279301</v>
      </c>
      <c r="N726">
        <v>7.0615927814829404E-4</v>
      </c>
    </row>
    <row r="727" spans="1:14" x14ac:dyDescent="0.25">
      <c r="A727" t="s">
        <v>775</v>
      </c>
      <c r="B727">
        <v>1579</v>
      </c>
      <c r="C727">
        <v>602</v>
      </c>
      <c r="D727">
        <v>9</v>
      </c>
      <c r="E727" t="s">
        <v>14</v>
      </c>
      <c r="F727" t="s">
        <v>35</v>
      </c>
      <c r="G727" t="s">
        <v>42</v>
      </c>
      <c r="H727" s="1">
        <v>43975</v>
      </c>
      <c r="I727" t="s">
        <v>776</v>
      </c>
      <c r="J727" t="s">
        <v>83</v>
      </c>
      <c r="K727" t="s">
        <v>90</v>
      </c>
      <c r="L727" s="1">
        <v>43952</v>
      </c>
      <c r="M727">
        <v>0.38125395820139302</v>
      </c>
      <c r="N727">
        <v>7.0615927814829404E-4</v>
      </c>
    </row>
    <row r="728" spans="1:14" x14ac:dyDescent="0.25">
      <c r="A728" t="s">
        <v>775</v>
      </c>
      <c r="B728">
        <v>1579</v>
      </c>
      <c r="C728">
        <v>602</v>
      </c>
      <c r="D728">
        <v>9</v>
      </c>
      <c r="E728" t="s">
        <v>14</v>
      </c>
      <c r="F728" t="s">
        <v>35</v>
      </c>
      <c r="G728" t="s">
        <v>42</v>
      </c>
      <c r="H728" s="1">
        <v>45704</v>
      </c>
      <c r="I728" t="s">
        <v>777</v>
      </c>
      <c r="J728" t="s">
        <v>63</v>
      </c>
      <c r="K728" t="s">
        <v>64</v>
      </c>
      <c r="L728" s="1">
        <v>45689</v>
      </c>
      <c r="M728">
        <v>0.38125395820139302</v>
      </c>
      <c r="N728">
        <v>7.0615927814829404E-4</v>
      </c>
    </row>
    <row r="729" spans="1:14" x14ac:dyDescent="0.25">
      <c r="A729" t="s">
        <v>775</v>
      </c>
      <c r="B729">
        <v>1579</v>
      </c>
      <c r="C729">
        <v>602</v>
      </c>
      <c r="D729">
        <v>9</v>
      </c>
      <c r="E729" t="s">
        <v>14</v>
      </c>
      <c r="F729" t="s">
        <v>35</v>
      </c>
      <c r="G729" t="s">
        <v>42</v>
      </c>
      <c r="H729" s="1">
        <v>44516</v>
      </c>
      <c r="I729" t="s">
        <v>778</v>
      </c>
      <c r="J729" t="s">
        <v>83</v>
      </c>
      <c r="K729" t="s">
        <v>90</v>
      </c>
      <c r="L729" s="1">
        <v>44501</v>
      </c>
      <c r="M729">
        <v>0.38125395820139302</v>
      </c>
      <c r="N729">
        <v>7.0615927814829404E-4</v>
      </c>
    </row>
    <row r="730" spans="1:14" x14ac:dyDescent="0.25">
      <c r="A730" t="s">
        <v>775</v>
      </c>
      <c r="B730">
        <v>1579</v>
      </c>
      <c r="C730">
        <v>602</v>
      </c>
      <c r="D730">
        <v>9</v>
      </c>
      <c r="E730" t="s">
        <v>14</v>
      </c>
      <c r="F730" t="s">
        <v>35</v>
      </c>
      <c r="G730" t="s">
        <v>42</v>
      </c>
      <c r="H730" s="1">
        <v>45543</v>
      </c>
      <c r="I730" t="s">
        <v>779</v>
      </c>
      <c r="J730" t="s">
        <v>24</v>
      </c>
      <c r="K730" t="s">
        <v>60</v>
      </c>
      <c r="L730" s="1">
        <v>45536</v>
      </c>
      <c r="M730">
        <v>0.38125395820139302</v>
      </c>
      <c r="N730">
        <v>7.0615927814829404E-4</v>
      </c>
    </row>
    <row r="731" spans="1:14" x14ac:dyDescent="0.25">
      <c r="A731" t="s">
        <v>775</v>
      </c>
      <c r="B731">
        <v>3760</v>
      </c>
      <c r="C731">
        <v>1849</v>
      </c>
      <c r="D731">
        <v>19</v>
      </c>
      <c r="E731" t="s">
        <v>40</v>
      </c>
      <c r="F731" t="s">
        <v>44</v>
      </c>
      <c r="G731" t="s">
        <v>36</v>
      </c>
      <c r="H731" s="1">
        <v>43975</v>
      </c>
      <c r="I731" t="s">
        <v>776</v>
      </c>
      <c r="J731" t="s">
        <v>83</v>
      </c>
      <c r="K731" t="s">
        <v>90</v>
      </c>
      <c r="L731" s="1">
        <v>43952</v>
      </c>
      <c r="M731">
        <v>0.491755319148936</v>
      </c>
      <c r="N731">
        <v>1.4907806983130601E-3</v>
      </c>
    </row>
    <row r="732" spans="1:14" x14ac:dyDescent="0.25">
      <c r="A732" t="s">
        <v>775</v>
      </c>
      <c r="B732">
        <v>3760</v>
      </c>
      <c r="C732">
        <v>1849</v>
      </c>
      <c r="D732">
        <v>19</v>
      </c>
      <c r="E732" t="s">
        <v>40</v>
      </c>
      <c r="F732" t="s">
        <v>44</v>
      </c>
      <c r="G732" t="s">
        <v>36</v>
      </c>
      <c r="H732" s="1">
        <v>45704</v>
      </c>
      <c r="I732" t="s">
        <v>777</v>
      </c>
      <c r="J732" t="s">
        <v>63</v>
      </c>
      <c r="K732" t="s">
        <v>64</v>
      </c>
      <c r="L732" s="1">
        <v>45689</v>
      </c>
      <c r="M732">
        <v>0.491755319148936</v>
      </c>
      <c r="N732">
        <v>1.4907806983130601E-3</v>
      </c>
    </row>
    <row r="733" spans="1:14" x14ac:dyDescent="0.25">
      <c r="A733" t="s">
        <v>775</v>
      </c>
      <c r="B733">
        <v>3760</v>
      </c>
      <c r="C733">
        <v>1849</v>
      </c>
      <c r="D733">
        <v>19</v>
      </c>
      <c r="E733" t="s">
        <v>40</v>
      </c>
      <c r="F733" t="s">
        <v>44</v>
      </c>
      <c r="G733" t="s">
        <v>36</v>
      </c>
      <c r="H733" s="1">
        <v>44516</v>
      </c>
      <c r="I733" t="s">
        <v>778</v>
      </c>
      <c r="J733" t="s">
        <v>83</v>
      </c>
      <c r="K733" t="s">
        <v>90</v>
      </c>
      <c r="L733" s="1">
        <v>44501</v>
      </c>
      <c r="M733">
        <v>0.491755319148936</v>
      </c>
      <c r="N733">
        <v>1.4907806983130601E-3</v>
      </c>
    </row>
    <row r="734" spans="1:14" x14ac:dyDescent="0.25">
      <c r="A734" t="s">
        <v>775</v>
      </c>
      <c r="B734">
        <v>3760</v>
      </c>
      <c r="C734">
        <v>1849</v>
      </c>
      <c r="D734">
        <v>19</v>
      </c>
      <c r="E734" t="s">
        <v>40</v>
      </c>
      <c r="F734" t="s">
        <v>44</v>
      </c>
      <c r="G734" t="s">
        <v>36</v>
      </c>
      <c r="H734" s="1">
        <v>45543</v>
      </c>
      <c r="I734" t="s">
        <v>779</v>
      </c>
      <c r="J734" t="s">
        <v>24</v>
      </c>
      <c r="K734" t="s">
        <v>60</v>
      </c>
      <c r="L734" s="1">
        <v>45536</v>
      </c>
      <c r="M734">
        <v>0.491755319148936</v>
      </c>
      <c r="N734">
        <v>1.4907806983130601E-3</v>
      </c>
    </row>
    <row r="735" spans="1:14" x14ac:dyDescent="0.25">
      <c r="A735" t="s">
        <v>780</v>
      </c>
      <c r="B735">
        <v>8706</v>
      </c>
      <c r="C735">
        <v>3099</v>
      </c>
      <c r="D735">
        <v>14</v>
      </c>
      <c r="E735" t="s">
        <v>28</v>
      </c>
      <c r="F735" t="s">
        <v>29</v>
      </c>
      <c r="G735" t="s">
        <v>42</v>
      </c>
      <c r="H735" s="1">
        <v>44741</v>
      </c>
      <c r="I735" t="s">
        <v>781</v>
      </c>
      <c r="J735" t="s">
        <v>21</v>
      </c>
      <c r="K735" t="s">
        <v>22</v>
      </c>
      <c r="L735" s="1">
        <v>44713</v>
      </c>
      <c r="M735">
        <v>0.35596140592694703</v>
      </c>
      <c r="N735">
        <v>1.0984699882306799E-3</v>
      </c>
    </row>
    <row r="736" spans="1:14" x14ac:dyDescent="0.25">
      <c r="A736" t="s">
        <v>780</v>
      </c>
      <c r="B736">
        <v>4708</v>
      </c>
      <c r="C736">
        <v>696</v>
      </c>
      <c r="D736">
        <v>14</v>
      </c>
      <c r="E736" t="s">
        <v>14</v>
      </c>
      <c r="F736" t="s">
        <v>15</v>
      </c>
      <c r="G736" t="s">
        <v>42</v>
      </c>
      <c r="H736" s="1">
        <v>44741</v>
      </c>
      <c r="I736" t="s">
        <v>781</v>
      </c>
      <c r="J736" t="s">
        <v>21</v>
      </c>
      <c r="K736" t="s">
        <v>22</v>
      </c>
      <c r="L736" s="1">
        <v>44713</v>
      </c>
      <c r="M736">
        <v>0.14783347493627899</v>
      </c>
      <c r="N736">
        <v>1.0984699882306799E-3</v>
      </c>
    </row>
    <row r="737" spans="1:14" x14ac:dyDescent="0.25">
      <c r="A737" t="s">
        <v>780</v>
      </c>
      <c r="B737">
        <v>8089</v>
      </c>
      <c r="C737">
        <v>3132</v>
      </c>
      <c r="D737">
        <v>17</v>
      </c>
      <c r="E737" t="s">
        <v>40</v>
      </c>
      <c r="F737" t="s">
        <v>44</v>
      </c>
      <c r="G737" t="s">
        <v>57</v>
      </c>
      <c r="H737" s="1">
        <v>44741</v>
      </c>
      <c r="I737" t="s">
        <v>781</v>
      </c>
      <c r="J737" t="s">
        <v>21</v>
      </c>
      <c r="K737" t="s">
        <v>22</v>
      </c>
      <c r="L737" s="1">
        <v>44713</v>
      </c>
      <c r="M737">
        <v>0.38719248361973002</v>
      </c>
      <c r="N737">
        <v>1.33385641428011E-3</v>
      </c>
    </row>
    <row r="738" spans="1:14" x14ac:dyDescent="0.25">
      <c r="A738" t="s">
        <v>782</v>
      </c>
      <c r="B738">
        <v>5462</v>
      </c>
      <c r="C738">
        <v>673</v>
      </c>
      <c r="D738">
        <v>12</v>
      </c>
      <c r="E738" t="s">
        <v>14</v>
      </c>
      <c r="F738" t="s">
        <v>26</v>
      </c>
      <c r="G738" t="s">
        <v>30</v>
      </c>
      <c r="H738" s="1">
        <v>44868</v>
      </c>
      <c r="I738" t="s">
        <v>783</v>
      </c>
      <c r="J738" t="s">
        <v>63</v>
      </c>
      <c r="K738" t="s">
        <v>75</v>
      </c>
      <c r="L738" s="1">
        <v>44866</v>
      </c>
      <c r="M738">
        <v>0.12321493958257</v>
      </c>
      <c r="N738">
        <v>9.4154570419772402E-4</v>
      </c>
    </row>
    <row r="739" spans="1:14" x14ac:dyDescent="0.25">
      <c r="A739" t="s">
        <v>784</v>
      </c>
      <c r="B739">
        <v>6392</v>
      </c>
      <c r="C739">
        <v>444</v>
      </c>
      <c r="D739">
        <v>18</v>
      </c>
      <c r="E739" t="s">
        <v>14</v>
      </c>
      <c r="F739" t="s">
        <v>15</v>
      </c>
      <c r="G739" t="s">
        <v>42</v>
      </c>
      <c r="H739" s="1">
        <v>45258</v>
      </c>
      <c r="I739" t="s">
        <v>785</v>
      </c>
      <c r="J739" t="s">
        <v>18</v>
      </c>
      <c r="K739" t="s">
        <v>122</v>
      </c>
      <c r="L739" s="1">
        <v>45231</v>
      </c>
      <c r="M739">
        <v>6.9461827284105104E-2</v>
      </c>
      <c r="N739">
        <v>1.41231855629659E-3</v>
      </c>
    </row>
    <row r="740" spans="1:14" x14ac:dyDescent="0.25">
      <c r="A740" t="s">
        <v>786</v>
      </c>
      <c r="B740">
        <v>8706</v>
      </c>
      <c r="C740">
        <v>1724</v>
      </c>
      <c r="D740">
        <v>3</v>
      </c>
      <c r="E740" t="s">
        <v>14</v>
      </c>
      <c r="F740" t="s">
        <v>15</v>
      </c>
      <c r="G740" t="s">
        <v>30</v>
      </c>
      <c r="H740" s="1">
        <v>43946</v>
      </c>
      <c r="I740" t="s">
        <v>787</v>
      </c>
      <c r="J740" t="s">
        <v>18</v>
      </c>
      <c r="K740" t="s">
        <v>32</v>
      </c>
      <c r="L740" s="1">
        <v>43922</v>
      </c>
      <c r="M740">
        <v>0.198024351022284</v>
      </c>
      <c r="N740">
        <v>2.35386426049431E-4</v>
      </c>
    </row>
    <row r="741" spans="1:14" x14ac:dyDescent="0.25">
      <c r="A741" t="s">
        <v>788</v>
      </c>
      <c r="B741">
        <v>2349</v>
      </c>
      <c r="C741">
        <v>319</v>
      </c>
      <c r="D741">
        <v>4</v>
      </c>
      <c r="E741" t="s">
        <v>28</v>
      </c>
      <c r="F741" t="s">
        <v>29</v>
      </c>
      <c r="G741" t="s">
        <v>16</v>
      </c>
      <c r="H741" s="1">
        <v>44579</v>
      </c>
      <c r="I741" t="s">
        <v>789</v>
      </c>
      <c r="J741" t="s">
        <v>18</v>
      </c>
      <c r="K741" t="s">
        <v>19</v>
      </c>
      <c r="L741" s="1">
        <v>44562</v>
      </c>
      <c r="M741">
        <v>0.13580246913580199</v>
      </c>
      <c r="N741">
        <v>3.1384856806590799E-4</v>
      </c>
    </row>
    <row r="742" spans="1:14" x14ac:dyDescent="0.25">
      <c r="A742" t="s">
        <v>788</v>
      </c>
      <c r="B742">
        <v>8220</v>
      </c>
      <c r="C742">
        <v>3882</v>
      </c>
      <c r="D742">
        <v>14</v>
      </c>
      <c r="E742" t="s">
        <v>40</v>
      </c>
      <c r="F742" t="s">
        <v>44</v>
      </c>
      <c r="G742" t="s">
        <v>16</v>
      </c>
      <c r="H742" s="1">
        <v>44579</v>
      </c>
      <c r="I742" t="s">
        <v>789</v>
      </c>
      <c r="J742" t="s">
        <v>18</v>
      </c>
      <c r="K742" t="s">
        <v>19</v>
      </c>
      <c r="L742" s="1">
        <v>44562</v>
      </c>
      <c r="M742">
        <v>0.47226277372262798</v>
      </c>
      <c r="N742">
        <v>1.0984699882306799E-3</v>
      </c>
    </row>
    <row r="743" spans="1:14" x14ac:dyDescent="0.25">
      <c r="A743" t="s">
        <v>788</v>
      </c>
      <c r="B743">
        <v>2379</v>
      </c>
      <c r="C743">
        <v>279</v>
      </c>
      <c r="D743">
        <v>7</v>
      </c>
      <c r="E743" t="s">
        <v>40</v>
      </c>
      <c r="F743" t="s">
        <v>44</v>
      </c>
      <c r="G743" t="s">
        <v>30</v>
      </c>
      <c r="H743" s="1">
        <v>44579</v>
      </c>
      <c r="I743" t="s">
        <v>789</v>
      </c>
      <c r="J743" t="s">
        <v>18</v>
      </c>
      <c r="K743" t="s">
        <v>19</v>
      </c>
      <c r="L743" s="1">
        <v>44562</v>
      </c>
      <c r="M743">
        <v>0.117276166456494</v>
      </c>
      <c r="N743">
        <v>5.4923499411533899E-4</v>
      </c>
    </row>
    <row r="744" spans="1:14" x14ac:dyDescent="0.25">
      <c r="A744" t="s">
        <v>788</v>
      </c>
      <c r="B744">
        <v>7377</v>
      </c>
      <c r="C744">
        <v>2049</v>
      </c>
      <c r="D744">
        <v>4</v>
      </c>
      <c r="E744" t="s">
        <v>28</v>
      </c>
      <c r="F744" t="s">
        <v>50</v>
      </c>
      <c r="G744" t="s">
        <v>16</v>
      </c>
      <c r="H744" s="1">
        <v>44579</v>
      </c>
      <c r="I744" t="s">
        <v>789</v>
      </c>
      <c r="J744" t="s">
        <v>18</v>
      </c>
      <c r="K744" t="s">
        <v>19</v>
      </c>
      <c r="L744" s="1">
        <v>44562</v>
      </c>
      <c r="M744">
        <v>0.27775518503456698</v>
      </c>
      <c r="N744">
        <v>3.1384856806590799E-4</v>
      </c>
    </row>
    <row r="745" spans="1:14" x14ac:dyDescent="0.25">
      <c r="A745" t="s">
        <v>790</v>
      </c>
      <c r="B745">
        <v>717</v>
      </c>
      <c r="C745">
        <v>158</v>
      </c>
      <c r="D745">
        <v>16</v>
      </c>
      <c r="E745" t="s">
        <v>40</v>
      </c>
      <c r="F745" t="s">
        <v>41</v>
      </c>
      <c r="G745" t="s">
        <v>42</v>
      </c>
      <c r="H745" s="1">
        <v>44643</v>
      </c>
      <c r="I745" t="s">
        <v>791</v>
      </c>
      <c r="J745" t="s">
        <v>83</v>
      </c>
      <c r="K745" t="s">
        <v>98</v>
      </c>
      <c r="L745" s="1">
        <v>44621</v>
      </c>
      <c r="M745">
        <v>0.220362622036262</v>
      </c>
      <c r="N745">
        <v>1.25539427226363E-3</v>
      </c>
    </row>
    <row r="746" spans="1:14" x14ac:dyDescent="0.25">
      <c r="A746" t="s">
        <v>790</v>
      </c>
      <c r="B746">
        <v>717</v>
      </c>
      <c r="C746">
        <v>158</v>
      </c>
      <c r="D746">
        <v>16</v>
      </c>
      <c r="E746" t="s">
        <v>40</v>
      </c>
      <c r="F746" t="s">
        <v>41</v>
      </c>
      <c r="G746" t="s">
        <v>42</v>
      </c>
      <c r="H746" s="1">
        <v>44006</v>
      </c>
      <c r="I746" t="s">
        <v>792</v>
      </c>
      <c r="J746" t="s">
        <v>18</v>
      </c>
      <c r="K746" t="s">
        <v>19</v>
      </c>
      <c r="L746" s="1">
        <v>43983</v>
      </c>
      <c r="M746">
        <v>0.220362622036262</v>
      </c>
      <c r="N746">
        <v>1.25539427226363E-3</v>
      </c>
    </row>
    <row r="747" spans="1:14" x14ac:dyDescent="0.25">
      <c r="A747" t="s">
        <v>790</v>
      </c>
      <c r="B747">
        <v>717</v>
      </c>
      <c r="C747">
        <v>158</v>
      </c>
      <c r="D747">
        <v>16</v>
      </c>
      <c r="E747" t="s">
        <v>40</v>
      </c>
      <c r="F747" t="s">
        <v>41</v>
      </c>
      <c r="G747" t="s">
        <v>42</v>
      </c>
      <c r="H747" s="1">
        <v>44918</v>
      </c>
      <c r="I747" t="s">
        <v>793</v>
      </c>
      <c r="J747" t="s">
        <v>24</v>
      </c>
      <c r="K747" t="s">
        <v>25</v>
      </c>
      <c r="L747" s="1">
        <v>44896</v>
      </c>
      <c r="M747">
        <v>0.220362622036262</v>
      </c>
      <c r="N747">
        <v>1.25539427226363E-3</v>
      </c>
    </row>
    <row r="748" spans="1:14" x14ac:dyDescent="0.25">
      <c r="A748" t="s">
        <v>790</v>
      </c>
      <c r="B748">
        <v>717</v>
      </c>
      <c r="C748">
        <v>158</v>
      </c>
      <c r="D748">
        <v>16</v>
      </c>
      <c r="E748" t="s">
        <v>40</v>
      </c>
      <c r="F748" t="s">
        <v>41</v>
      </c>
      <c r="G748" t="s">
        <v>42</v>
      </c>
      <c r="H748" s="1">
        <v>45620</v>
      </c>
      <c r="I748" t="s">
        <v>794</v>
      </c>
      <c r="J748" t="s">
        <v>24</v>
      </c>
      <c r="K748" t="s">
        <v>46</v>
      </c>
      <c r="L748" s="1">
        <v>45597</v>
      </c>
      <c r="M748">
        <v>0.220362622036262</v>
      </c>
      <c r="N748">
        <v>1.25539427226363E-3</v>
      </c>
    </row>
    <row r="749" spans="1:14" x14ac:dyDescent="0.25">
      <c r="A749" t="s">
        <v>790</v>
      </c>
      <c r="B749">
        <v>717</v>
      </c>
      <c r="C749">
        <v>158</v>
      </c>
      <c r="D749">
        <v>16</v>
      </c>
      <c r="E749" t="s">
        <v>40</v>
      </c>
      <c r="F749" t="s">
        <v>41</v>
      </c>
      <c r="G749" t="s">
        <v>42</v>
      </c>
      <c r="H749" s="1">
        <v>44141</v>
      </c>
      <c r="I749" t="s">
        <v>795</v>
      </c>
      <c r="J749" t="s">
        <v>18</v>
      </c>
      <c r="K749" t="s">
        <v>32</v>
      </c>
      <c r="L749" s="1">
        <v>44136</v>
      </c>
      <c r="M749">
        <v>0.220362622036262</v>
      </c>
      <c r="N749">
        <v>1.25539427226363E-3</v>
      </c>
    </row>
    <row r="750" spans="1:14" x14ac:dyDescent="0.25">
      <c r="A750" t="s">
        <v>790</v>
      </c>
      <c r="B750">
        <v>717</v>
      </c>
      <c r="C750">
        <v>158</v>
      </c>
      <c r="D750">
        <v>16</v>
      </c>
      <c r="E750" t="s">
        <v>40</v>
      </c>
      <c r="F750" t="s">
        <v>41</v>
      </c>
      <c r="G750" t="s">
        <v>42</v>
      </c>
      <c r="H750" s="1">
        <v>45223</v>
      </c>
      <c r="I750" t="s">
        <v>796</v>
      </c>
      <c r="J750" t="s">
        <v>24</v>
      </c>
      <c r="K750" t="s">
        <v>60</v>
      </c>
      <c r="L750" s="1">
        <v>45200</v>
      </c>
      <c r="M750">
        <v>0.220362622036262</v>
      </c>
      <c r="N750">
        <v>1.25539427226363E-3</v>
      </c>
    </row>
    <row r="751" spans="1:14" x14ac:dyDescent="0.25">
      <c r="A751" t="s">
        <v>790</v>
      </c>
      <c r="B751">
        <v>508</v>
      </c>
      <c r="C751">
        <v>177</v>
      </c>
      <c r="D751">
        <v>17</v>
      </c>
      <c r="E751" t="s">
        <v>40</v>
      </c>
      <c r="F751" t="s">
        <v>52</v>
      </c>
      <c r="G751" t="s">
        <v>16</v>
      </c>
      <c r="H751" s="1">
        <v>44643</v>
      </c>
      <c r="I751" t="s">
        <v>791</v>
      </c>
      <c r="J751" t="s">
        <v>83</v>
      </c>
      <c r="K751" t="s">
        <v>98</v>
      </c>
      <c r="L751" s="1">
        <v>44621</v>
      </c>
      <c r="M751">
        <v>0.34842519685039403</v>
      </c>
      <c r="N751">
        <v>1.33385641428011E-3</v>
      </c>
    </row>
    <row r="752" spans="1:14" x14ac:dyDescent="0.25">
      <c r="A752" t="s">
        <v>790</v>
      </c>
      <c r="B752">
        <v>508</v>
      </c>
      <c r="C752">
        <v>177</v>
      </c>
      <c r="D752">
        <v>17</v>
      </c>
      <c r="E752" t="s">
        <v>40</v>
      </c>
      <c r="F752" t="s">
        <v>52</v>
      </c>
      <c r="G752" t="s">
        <v>16</v>
      </c>
      <c r="H752" s="1">
        <v>44006</v>
      </c>
      <c r="I752" t="s">
        <v>792</v>
      </c>
      <c r="J752" t="s">
        <v>18</v>
      </c>
      <c r="K752" t="s">
        <v>19</v>
      </c>
      <c r="L752" s="1">
        <v>43983</v>
      </c>
      <c r="M752">
        <v>0.34842519685039403</v>
      </c>
      <c r="N752">
        <v>1.33385641428011E-3</v>
      </c>
    </row>
    <row r="753" spans="1:14" x14ac:dyDescent="0.25">
      <c r="A753" t="s">
        <v>790</v>
      </c>
      <c r="B753">
        <v>508</v>
      </c>
      <c r="C753">
        <v>177</v>
      </c>
      <c r="D753">
        <v>17</v>
      </c>
      <c r="E753" t="s">
        <v>40</v>
      </c>
      <c r="F753" t="s">
        <v>52</v>
      </c>
      <c r="G753" t="s">
        <v>16</v>
      </c>
      <c r="H753" s="1">
        <v>44918</v>
      </c>
      <c r="I753" t="s">
        <v>793</v>
      </c>
      <c r="J753" t="s">
        <v>24</v>
      </c>
      <c r="K753" t="s">
        <v>25</v>
      </c>
      <c r="L753" s="1">
        <v>44896</v>
      </c>
      <c r="M753">
        <v>0.34842519685039403</v>
      </c>
      <c r="N753">
        <v>1.33385641428011E-3</v>
      </c>
    </row>
    <row r="754" spans="1:14" x14ac:dyDescent="0.25">
      <c r="A754" t="s">
        <v>790</v>
      </c>
      <c r="B754">
        <v>508</v>
      </c>
      <c r="C754">
        <v>177</v>
      </c>
      <c r="D754">
        <v>17</v>
      </c>
      <c r="E754" t="s">
        <v>40</v>
      </c>
      <c r="F754" t="s">
        <v>52</v>
      </c>
      <c r="G754" t="s">
        <v>16</v>
      </c>
      <c r="H754" s="1">
        <v>45620</v>
      </c>
      <c r="I754" t="s">
        <v>794</v>
      </c>
      <c r="J754" t="s">
        <v>24</v>
      </c>
      <c r="K754" t="s">
        <v>46</v>
      </c>
      <c r="L754" s="1">
        <v>45597</v>
      </c>
      <c r="M754">
        <v>0.34842519685039403</v>
      </c>
      <c r="N754">
        <v>1.33385641428011E-3</v>
      </c>
    </row>
    <row r="755" spans="1:14" x14ac:dyDescent="0.25">
      <c r="A755" t="s">
        <v>790</v>
      </c>
      <c r="B755">
        <v>508</v>
      </c>
      <c r="C755">
        <v>177</v>
      </c>
      <c r="D755">
        <v>17</v>
      </c>
      <c r="E755" t="s">
        <v>40</v>
      </c>
      <c r="F755" t="s">
        <v>52</v>
      </c>
      <c r="G755" t="s">
        <v>16</v>
      </c>
      <c r="H755" s="1">
        <v>44141</v>
      </c>
      <c r="I755" t="s">
        <v>795</v>
      </c>
      <c r="J755" t="s">
        <v>18</v>
      </c>
      <c r="K755" t="s">
        <v>32</v>
      </c>
      <c r="L755" s="1">
        <v>44136</v>
      </c>
      <c r="M755">
        <v>0.34842519685039403</v>
      </c>
      <c r="N755">
        <v>1.33385641428011E-3</v>
      </c>
    </row>
    <row r="756" spans="1:14" x14ac:dyDescent="0.25">
      <c r="A756" t="s">
        <v>790</v>
      </c>
      <c r="B756">
        <v>508</v>
      </c>
      <c r="C756">
        <v>177</v>
      </c>
      <c r="D756">
        <v>17</v>
      </c>
      <c r="E756" t="s">
        <v>40</v>
      </c>
      <c r="F756" t="s">
        <v>52</v>
      </c>
      <c r="G756" t="s">
        <v>16</v>
      </c>
      <c r="H756" s="1">
        <v>45223</v>
      </c>
      <c r="I756" t="s">
        <v>796</v>
      </c>
      <c r="J756" t="s">
        <v>24</v>
      </c>
      <c r="K756" t="s">
        <v>60</v>
      </c>
      <c r="L756" s="1">
        <v>45200</v>
      </c>
      <c r="M756">
        <v>0.34842519685039403</v>
      </c>
      <c r="N756">
        <v>1.33385641428011E-3</v>
      </c>
    </row>
    <row r="757" spans="1:14" x14ac:dyDescent="0.25">
      <c r="A757" t="s">
        <v>797</v>
      </c>
      <c r="B757">
        <v>9382</v>
      </c>
      <c r="C757">
        <v>1085</v>
      </c>
      <c r="D757">
        <v>3</v>
      </c>
      <c r="E757" t="s">
        <v>14</v>
      </c>
      <c r="F757" t="s">
        <v>26</v>
      </c>
      <c r="G757" t="s">
        <v>30</v>
      </c>
      <c r="H757" s="1">
        <v>45125</v>
      </c>
      <c r="I757" t="s">
        <v>798</v>
      </c>
      <c r="J757" t="s">
        <v>21</v>
      </c>
      <c r="K757" t="s">
        <v>22</v>
      </c>
      <c r="L757" s="1">
        <v>45108</v>
      </c>
      <c r="M757">
        <v>0.115646983585589</v>
      </c>
      <c r="N757">
        <v>2.35386426049431E-4</v>
      </c>
    </row>
    <row r="758" spans="1:14" x14ac:dyDescent="0.25">
      <c r="A758" t="s">
        <v>797</v>
      </c>
      <c r="B758">
        <v>9382</v>
      </c>
      <c r="C758">
        <v>1085</v>
      </c>
      <c r="D758">
        <v>3</v>
      </c>
      <c r="E758" t="s">
        <v>14</v>
      </c>
      <c r="F758" t="s">
        <v>26</v>
      </c>
      <c r="G758" t="s">
        <v>30</v>
      </c>
      <c r="H758" s="1">
        <v>44697</v>
      </c>
      <c r="I758" t="s">
        <v>799</v>
      </c>
      <c r="J758" t="s">
        <v>24</v>
      </c>
      <c r="K758" t="s">
        <v>60</v>
      </c>
      <c r="L758" s="1">
        <v>44682</v>
      </c>
      <c r="M758">
        <v>0.115646983585589</v>
      </c>
      <c r="N758">
        <v>2.35386426049431E-4</v>
      </c>
    </row>
    <row r="759" spans="1:14" x14ac:dyDescent="0.25">
      <c r="A759" t="s">
        <v>797</v>
      </c>
      <c r="B759">
        <v>4936</v>
      </c>
      <c r="C759">
        <v>576</v>
      </c>
      <c r="D759">
        <v>19</v>
      </c>
      <c r="E759" t="s">
        <v>40</v>
      </c>
      <c r="F759" t="s">
        <v>41</v>
      </c>
      <c r="G759" t="s">
        <v>57</v>
      </c>
      <c r="H759" s="1">
        <v>45125</v>
      </c>
      <c r="I759" t="s">
        <v>798</v>
      </c>
      <c r="J759" t="s">
        <v>21</v>
      </c>
      <c r="K759" t="s">
        <v>22</v>
      </c>
      <c r="L759" s="1">
        <v>45108</v>
      </c>
      <c r="M759">
        <v>0.116693679092382</v>
      </c>
      <c r="N759">
        <v>1.4907806983130601E-3</v>
      </c>
    </row>
    <row r="760" spans="1:14" x14ac:dyDescent="0.25">
      <c r="A760" t="s">
        <v>797</v>
      </c>
      <c r="B760">
        <v>4936</v>
      </c>
      <c r="C760">
        <v>576</v>
      </c>
      <c r="D760">
        <v>19</v>
      </c>
      <c r="E760" t="s">
        <v>40</v>
      </c>
      <c r="F760" t="s">
        <v>41</v>
      </c>
      <c r="G760" t="s">
        <v>57</v>
      </c>
      <c r="H760" s="1">
        <v>44697</v>
      </c>
      <c r="I760" t="s">
        <v>799</v>
      </c>
      <c r="J760" t="s">
        <v>24</v>
      </c>
      <c r="K760" t="s">
        <v>60</v>
      </c>
      <c r="L760" s="1">
        <v>44682</v>
      </c>
      <c r="M760">
        <v>0.116693679092382</v>
      </c>
      <c r="N760">
        <v>1.4907806983130601E-3</v>
      </c>
    </row>
    <row r="761" spans="1:14" x14ac:dyDescent="0.25">
      <c r="A761" t="s">
        <v>800</v>
      </c>
      <c r="B761">
        <v>2663</v>
      </c>
      <c r="C761">
        <v>64</v>
      </c>
      <c r="D761">
        <v>19</v>
      </c>
      <c r="E761" t="s">
        <v>40</v>
      </c>
      <c r="F761" t="s">
        <v>52</v>
      </c>
      <c r="G761" t="s">
        <v>57</v>
      </c>
      <c r="H761" s="1">
        <v>45459</v>
      </c>
      <c r="I761" t="s">
        <v>801</v>
      </c>
      <c r="J761" t="s">
        <v>38</v>
      </c>
      <c r="K761" t="s">
        <v>79</v>
      </c>
      <c r="L761" s="1">
        <v>45444</v>
      </c>
      <c r="M761">
        <v>2.4033045437476499E-2</v>
      </c>
      <c r="N761">
        <v>1.4907806983130601E-3</v>
      </c>
    </row>
    <row r="762" spans="1:14" x14ac:dyDescent="0.25">
      <c r="A762" t="s">
        <v>800</v>
      </c>
      <c r="B762">
        <v>2663</v>
      </c>
      <c r="C762">
        <v>64</v>
      </c>
      <c r="D762">
        <v>19</v>
      </c>
      <c r="E762" t="s">
        <v>40</v>
      </c>
      <c r="F762" t="s">
        <v>52</v>
      </c>
      <c r="G762" t="s">
        <v>57</v>
      </c>
      <c r="H762" s="1">
        <v>44492</v>
      </c>
      <c r="I762" t="s">
        <v>802</v>
      </c>
      <c r="J762" t="s">
        <v>83</v>
      </c>
      <c r="K762" t="s">
        <v>98</v>
      </c>
      <c r="L762" s="1">
        <v>44470</v>
      </c>
      <c r="M762">
        <v>2.4033045437476499E-2</v>
      </c>
      <c r="N762">
        <v>1.4907806983130601E-3</v>
      </c>
    </row>
    <row r="763" spans="1:14" x14ac:dyDescent="0.25">
      <c r="A763" t="s">
        <v>803</v>
      </c>
      <c r="B763">
        <v>5151</v>
      </c>
      <c r="C763">
        <v>1680</v>
      </c>
      <c r="D763">
        <v>5</v>
      </c>
      <c r="E763" t="s">
        <v>14</v>
      </c>
      <c r="F763" t="s">
        <v>26</v>
      </c>
      <c r="G763" t="s">
        <v>36</v>
      </c>
      <c r="H763" s="1">
        <v>44856</v>
      </c>
      <c r="I763" t="s">
        <v>804</v>
      </c>
      <c r="J763" t="s">
        <v>63</v>
      </c>
      <c r="K763" t="s">
        <v>112</v>
      </c>
      <c r="L763" s="1">
        <v>44835</v>
      </c>
      <c r="M763">
        <v>0.32615026208503201</v>
      </c>
      <c r="N763">
        <v>3.9231071008238503E-4</v>
      </c>
    </row>
    <row r="764" spans="1:14" x14ac:dyDescent="0.25">
      <c r="A764" t="s">
        <v>805</v>
      </c>
      <c r="B764">
        <v>2514</v>
      </c>
      <c r="C764">
        <v>95</v>
      </c>
      <c r="D764">
        <v>8</v>
      </c>
      <c r="E764" t="s">
        <v>28</v>
      </c>
      <c r="F764" t="s">
        <v>29</v>
      </c>
      <c r="G764" t="s">
        <v>16</v>
      </c>
      <c r="H764" s="1">
        <v>45124</v>
      </c>
      <c r="I764" t="s">
        <v>806</v>
      </c>
      <c r="J764" t="s">
        <v>24</v>
      </c>
      <c r="K764" t="s">
        <v>60</v>
      </c>
      <c r="L764" s="1">
        <v>45108</v>
      </c>
      <c r="M764">
        <v>3.7788385043755E-2</v>
      </c>
      <c r="N764">
        <v>6.2769713613181597E-4</v>
      </c>
    </row>
    <row r="765" spans="1:14" x14ac:dyDescent="0.25">
      <c r="A765" t="s">
        <v>807</v>
      </c>
      <c r="B765">
        <v>6129</v>
      </c>
      <c r="C765">
        <v>2976</v>
      </c>
      <c r="D765">
        <v>2</v>
      </c>
      <c r="E765" t="s">
        <v>14</v>
      </c>
      <c r="F765" t="s">
        <v>35</v>
      </c>
      <c r="G765" t="s">
        <v>36</v>
      </c>
      <c r="H765" s="1">
        <v>45712</v>
      </c>
      <c r="I765" t="s">
        <v>808</v>
      </c>
      <c r="J765" t="s">
        <v>24</v>
      </c>
      <c r="K765" t="s">
        <v>46</v>
      </c>
      <c r="L765" s="1">
        <v>45689</v>
      </c>
      <c r="M765">
        <v>0.48556045031815998</v>
      </c>
      <c r="N765">
        <v>1.5692428403295399E-4</v>
      </c>
    </row>
    <row r="766" spans="1:14" x14ac:dyDescent="0.25">
      <c r="A766" t="s">
        <v>807</v>
      </c>
      <c r="B766">
        <v>4395</v>
      </c>
      <c r="C766">
        <v>1663</v>
      </c>
      <c r="D766">
        <v>3</v>
      </c>
      <c r="E766" t="s">
        <v>40</v>
      </c>
      <c r="F766" t="s">
        <v>91</v>
      </c>
      <c r="G766" t="s">
        <v>57</v>
      </c>
      <c r="H766" s="1">
        <v>45712</v>
      </c>
      <c r="I766" t="s">
        <v>808</v>
      </c>
      <c r="J766" t="s">
        <v>24</v>
      </c>
      <c r="K766" t="s">
        <v>46</v>
      </c>
      <c r="L766" s="1">
        <v>45689</v>
      </c>
      <c r="M766">
        <v>0.37838452787258198</v>
      </c>
      <c r="N766">
        <v>2.35386426049431E-4</v>
      </c>
    </row>
    <row r="767" spans="1:14" x14ac:dyDescent="0.25">
      <c r="A767" t="s">
        <v>809</v>
      </c>
      <c r="B767">
        <v>5393</v>
      </c>
      <c r="C767">
        <v>2642</v>
      </c>
      <c r="D767">
        <v>8</v>
      </c>
      <c r="E767" t="s">
        <v>40</v>
      </c>
      <c r="F767" t="s">
        <v>44</v>
      </c>
      <c r="G767" t="s">
        <v>16</v>
      </c>
      <c r="H767" s="1">
        <v>44262</v>
      </c>
      <c r="I767" t="s">
        <v>810</v>
      </c>
      <c r="J767" t="s">
        <v>83</v>
      </c>
      <c r="K767" t="s">
        <v>90</v>
      </c>
      <c r="L767" s="1">
        <v>44256</v>
      </c>
      <c r="M767">
        <v>0.489894307435565</v>
      </c>
      <c r="N767">
        <v>6.2769713613181597E-4</v>
      </c>
    </row>
    <row r="768" spans="1:14" x14ac:dyDescent="0.25">
      <c r="A768" t="s">
        <v>811</v>
      </c>
      <c r="B768">
        <v>2280</v>
      </c>
      <c r="C768">
        <v>509</v>
      </c>
      <c r="D768">
        <v>8</v>
      </c>
      <c r="E768" t="s">
        <v>14</v>
      </c>
      <c r="F768" t="s">
        <v>71</v>
      </c>
      <c r="G768" t="s">
        <v>42</v>
      </c>
      <c r="H768" s="1">
        <v>44199</v>
      </c>
      <c r="I768" t="s">
        <v>812</v>
      </c>
      <c r="J768" t="s">
        <v>24</v>
      </c>
      <c r="K768" t="s">
        <v>25</v>
      </c>
      <c r="L768" s="1">
        <v>44197</v>
      </c>
      <c r="M768">
        <v>0.223245614035088</v>
      </c>
      <c r="N768">
        <v>6.2769713613181597E-4</v>
      </c>
    </row>
    <row r="769" spans="1:14" x14ac:dyDescent="0.25">
      <c r="A769" t="s">
        <v>813</v>
      </c>
      <c r="B769">
        <v>6596</v>
      </c>
      <c r="C769">
        <v>1439</v>
      </c>
      <c r="D769">
        <v>9</v>
      </c>
      <c r="E769" t="s">
        <v>28</v>
      </c>
      <c r="F769" t="s">
        <v>56</v>
      </c>
      <c r="G769" t="s">
        <v>30</v>
      </c>
      <c r="H769" s="1">
        <v>45049</v>
      </c>
      <c r="I769" t="s">
        <v>814</v>
      </c>
      <c r="J769" t="s">
        <v>83</v>
      </c>
      <c r="K769" t="s">
        <v>90</v>
      </c>
      <c r="L769" s="1">
        <v>45047</v>
      </c>
      <c r="M769">
        <v>0.21816252274105499</v>
      </c>
      <c r="N769">
        <v>7.0615927814829404E-4</v>
      </c>
    </row>
    <row r="770" spans="1:14" x14ac:dyDescent="0.25">
      <c r="A770" t="s">
        <v>815</v>
      </c>
      <c r="B770">
        <v>4510</v>
      </c>
      <c r="C770">
        <v>1896</v>
      </c>
      <c r="D770">
        <v>5</v>
      </c>
      <c r="E770" t="s">
        <v>28</v>
      </c>
      <c r="F770" t="s">
        <v>56</v>
      </c>
      <c r="G770" t="s">
        <v>36</v>
      </c>
      <c r="H770" s="1">
        <v>45224</v>
      </c>
      <c r="I770" t="s">
        <v>816</v>
      </c>
      <c r="J770" t="s">
        <v>38</v>
      </c>
      <c r="K770" t="s">
        <v>39</v>
      </c>
      <c r="L770" s="1">
        <v>45200</v>
      </c>
      <c r="M770">
        <v>0.42039911308203998</v>
      </c>
      <c r="N770">
        <v>3.9231071008238503E-4</v>
      </c>
    </row>
    <row r="771" spans="1:14" x14ac:dyDescent="0.25">
      <c r="A771" t="s">
        <v>817</v>
      </c>
      <c r="B771">
        <v>6077</v>
      </c>
      <c r="C771">
        <v>2378</v>
      </c>
      <c r="D771">
        <v>18</v>
      </c>
      <c r="E771" t="s">
        <v>14</v>
      </c>
      <c r="F771" t="s">
        <v>71</v>
      </c>
      <c r="G771" t="s">
        <v>57</v>
      </c>
      <c r="H771" s="1">
        <v>44794</v>
      </c>
      <c r="I771" t="s">
        <v>818</v>
      </c>
      <c r="J771" t="s">
        <v>24</v>
      </c>
      <c r="K771" t="s">
        <v>46</v>
      </c>
      <c r="L771" s="1">
        <v>44774</v>
      </c>
      <c r="M771">
        <v>0.39131150238604601</v>
      </c>
      <c r="N771">
        <v>1.41231855629659E-3</v>
      </c>
    </row>
    <row r="772" spans="1:14" x14ac:dyDescent="0.25">
      <c r="A772" t="s">
        <v>819</v>
      </c>
      <c r="B772">
        <v>5379</v>
      </c>
      <c r="C772">
        <v>2510</v>
      </c>
      <c r="D772">
        <v>17</v>
      </c>
      <c r="E772" t="s">
        <v>14</v>
      </c>
      <c r="F772" t="s">
        <v>26</v>
      </c>
      <c r="G772" t="s">
        <v>57</v>
      </c>
      <c r="H772" s="1">
        <v>44667</v>
      </c>
      <c r="I772" t="s">
        <v>820</v>
      </c>
      <c r="J772" t="s">
        <v>83</v>
      </c>
      <c r="K772" t="s">
        <v>84</v>
      </c>
      <c r="L772" s="1">
        <v>44652</v>
      </c>
      <c r="M772">
        <v>0.466629485034393</v>
      </c>
      <c r="N772">
        <v>1.33385641428011E-3</v>
      </c>
    </row>
    <row r="773" spans="1:14" x14ac:dyDescent="0.25">
      <c r="A773" t="s">
        <v>821</v>
      </c>
      <c r="B773">
        <v>4629</v>
      </c>
      <c r="C773">
        <v>1660</v>
      </c>
      <c r="D773">
        <v>16</v>
      </c>
      <c r="E773" t="s">
        <v>28</v>
      </c>
      <c r="F773" t="s">
        <v>50</v>
      </c>
      <c r="G773" t="s">
        <v>36</v>
      </c>
      <c r="H773" s="1">
        <v>45018</v>
      </c>
      <c r="I773" t="s">
        <v>822</v>
      </c>
      <c r="J773" t="s">
        <v>38</v>
      </c>
      <c r="K773" t="s">
        <v>66</v>
      </c>
      <c r="L773" s="1">
        <v>45017</v>
      </c>
      <c r="M773">
        <v>0.35860877079282799</v>
      </c>
      <c r="N773">
        <v>1.25539427226363E-3</v>
      </c>
    </row>
    <row r="774" spans="1:14" x14ac:dyDescent="0.25">
      <c r="A774" t="s">
        <v>823</v>
      </c>
      <c r="B774">
        <v>2710</v>
      </c>
      <c r="C774">
        <v>555</v>
      </c>
      <c r="D774">
        <v>20</v>
      </c>
      <c r="E774" t="s">
        <v>14</v>
      </c>
      <c r="F774" t="s">
        <v>35</v>
      </c>
      <c r="G774" t="s">
        <v>30</v>
      </c>
      <c r="H774" s="1">
        <v>45586</v>
      </c>
      <c r="I774" t="s">
        <v>824</v>
      </c>
      <c r="J774" t="s">
        <v>21</v>
      </c>
      <c r="K774" t="s">
        <v>22</v>
      </c>
      <c r="L774" s="1">
        <v>45566</v>
      </c>
      <c r="M774">
        <v>0.20479704797048001</v>
      </c>
      <c r="N774">
        <v>1.5692428403295401E-3</v>
      </c>
    </row>
    <row r="775" spans="1:14" x14ac:dyDescent="0.25">
      <c r="A775" t="s">
        <v>823</v>
      </c>
      <c r="B775">
        <v>3224</v>
      </c>
      <c r="C775">
        <v>1018</v>
      </c>
      <c r="D775">
        <v>14</v>
      </c>
      <c r="E775" t="s">
        <v>28</v>
      </c>
      <c r="F775" t="s">
        <v>68</v>
      </c>
      <c r="G775" t="s">
        <v>16</v>
      </c>
      <c r="H775" s="1">
        <v>45586</v>
      </c>
      <c r="I775" t="s">
        <v>824</v>
      </c>
      <c r="J775" t="s">
        <v>21</v>
      </c>
      <c r="K775" t="s">
        <v>22</v>
      </c>
      <c r="L775" s="1">
        <v>45566</v>
      </c>
      <c r="M775">
        <v>0.31575682382134002</v>
      </c>
      <c r="N775">
        <v>1.0984699882306799E-3</v>
      </c>
    </row>
    <row r="776" spans="1:14" x14ac:dyDescent="0.25">
      <c r="A776" t="s">
        <v>825</v>
      </c>
      <c r="B776">
        <v>8042</v>
      </c>
      <c r="C776">
        <v>936</v>
      </c>
      <c r="D776">
        <v>15</v>
      </c>
      <c r="E776" t="s">
        <v>28</v>
      </c>
      <c r="F776" t="s">
        <v>50</v>
      </c>
      <c r="G776" t="s">
        <v>36</v>
      </c>
      <c r="H776" s="1">
        <v>44386</v>
      </c>
      <c r="I776" t="s">
        <v>826</v>
      </c>
      <c r="J776" t="s">
        <v>21</v>
      </c>
      <c r="K776" t="s">
        <v>55</v>
      </c>
      <c r="L776" s="1">
        <v>44378</v>
      </c>
      <c r="M776">
        <v>0.116388957970654</v>
      </c>
      <c r="N776">
        <v>1.17693213024716E-3</v>
      </c>
    </row>
    <row r="777" spans="1:14" x14ac:dyDescent="0.25">
      <c r="A777" t="s">
        <v>825</v>
      </c>
      <c r="B777">
        <v>8042</v>
      </c>
      <c r="C777">
        <v>936</v>
      </c>
      <c r="D777">
        <v>15</v>
      </c>
      <c r="E777" t="s">
        <v>28</v>
      </c>
      <c r="F777" t="s">
        <v>50</v>
      </c>
      <c r="G777" t="s">
        <v>36</v>
      </c>
      <c r="H777" s="1">
        <v>44659</v>
      </c>
      <c r="I777" t="s">
        <v>827</v>
      </c>
      <c r="J777" t="s">
        <v>38</v>
      </c>
      <c r="K777" t="s">
        <v>39</v>
      </c>
      <c r="L777" s="1">
        <v>44652</v>
      </c>
      <c r="M777">
        <v>0.116388957970654</v>
      </c>
      <c r="N777">
        <v>1.17693213024716E-3</v>
      </c>
    </row>
    <row r="778" spans="1:14" x14ac:dyDescent="0.25">
      <c r="A778" t="s">
        <v>828</v>
      </c>
      <c r="B778">
        <v>3957</v>
      </c>
      <c r="C778">
        <v>151</v>
      </c>
      <c r="D778">
        <v>10</v>
      </c>
      <c r="E778" t="s">
        <v>28</v>
      </c>
      <c r="F778" t="s">
        <v>68</v>
      </c>
      <c r="G778" t="s">
        <v>36</v>
      </c>
      <c r="H778" s="1">
        <v>44681</v>
      </c>
      <c r="I778" t="s">
        <v>829</v>
      </c>
      <c r="J778" t="s">
        <v>63</v>
      </c>
      <c r="K778" t="s">
        <v>75</v>
      </c>
      <c r="L778" s="1">
        <v>44652</v>
      </c>
      <c r="M778">
        <v>3.8160222390700001E-2</v>
      </c>
      <c r="N778">
        <v>7.8462142016477005E-4</v>
      </c>
    </row>
    <row r="779" spans="1:14" x14ac:dyDescent="0.25">
      <c r="A779" t="s">
        <v>830</v>
      </c>
      <c r="B779">
        <v>8769</v>
      </c>
      <c r="C779">
        <v>3178</v>
      </c>
      <c r="D779">
        <v>16</v>
      </c>
      <c r="E779" t="s">
        <v>28</v>
      </c>
      <c r="F779" t="s">
        <v>50</v>
      </c>
      <c r="G779" t="s">
        <v>30</v>
      </c>
      <c r="H779" s="1">
        <v>44946</v>
      </c>
      <c r="I779" t="s">
        <v>831</v>
      </c>
      <c r="J779" t="s">
        <v>21</v>
      </c>
      <c r="K779" t="s">
        <v>22</v>
      </c>
      <c r="L779" s="1">
        <v>44927</v>
      </c>
      <c r="M779">
        <v>0.36241304595735002</v>
      </c>
      <c r="N779">
        <v>1.25539427226363E-3</v>
      </c>
    </row>
    <row r="780" spans="1:14" x14ac:dyDescent="0.25">
      <c r="A780" t="s">
        <v>832</v>
      </c>
      <c r="B780">
        <v>2957</v>
      </c>
      <c r="C780">
        <v>917</v>
      </c>
      <c r="D780">
        <v>16</v>
      </c>
      <c r="E780" t="s">
        <v>28</v>
      </c>
      <c r="F780" t="s">
        <v>29</v>
      </c>
      <c r="G780" t="s">
        <v>30</v>
      </c>
      <c r="H780" s="1">
        <v>45613</v>
      </c>
      <c r="I780" t="s">
        <v>833</v>
      </c>
      <c r="J780" t="s">
        <v>21</v>
      </c>
      <c r="K780" t="s">
        <v>22</v>
      </c>
      <c r="L780" s="1">
        <v>45597</v>
      </c>
      <c r="M780">
        <v>0.310111599594183</v>
      </c>
      <c r="N780">
        <v>1.25539427226363E-3</v>
      </c>
    </row>
    <row r="781" spans="1:14" x14ac:dyDescent="0.25">
      <c r="A781" t="s">
        <v>834</v>
      </c>
      <c r="B781">
        <v>5344</v>
      </c>
      <c r="C781">
        <v>2607</v>
      </c>
      <c r="D781">
        <v>6</v>
      </c>
      <c r="E781" t="s">
        <v>28</v>
      </c>
      <c r="F781" t="s">
        <v>56</v>
      </c>
      <c r="G781" t="s">
        <v>30</v>
      </c>
      <c r="H781" s="1">
        <v>44674</v>
      </c>
      <c r="I781" t="s">
        <v>835</v>
      </c>
      <c r="J781" t="s">
        <v>63</v>
      </c>
      <c r="K781" t="s">
        <v>64</v>
      </c>
      <c r="L781" s="1">
        <v>44652</v>
      </c>
      <c r="M781">
        <v>0.48783682634730502</v>
      </c>
      <c r="N781">
        <v>4.7077285209886201E-4</v>
      </c>
    </row>
    <row r="782" spans="1:14" x14ac:dyDescent="0.25">
      <c r="A782" t="s">
        <v>834</v>
      </c>
      <c r="B782">
        <v>5344</v>
      </c>
      <c r="C782">
        <v>2607</v>
      </c>
      <c r="D782">
        <v>6</v>
      </c>
      <c r="E782" t="s">
        <v>28</v>
      </c>
      <c r="F782" t="s">
        <v>56</v>
      </c>
      <c r="G782" t="s">
        <v>30</v>
      </c>
      <c r="H782" s="1">
        <v>45706</v>
      </c>
      <c r="I782" t="s">
        <v>836</v>
      </c>
      <c r="J782" t="s">
        <v>24</v>
      </c>
      <c r="K782" t="s">
        <v>60</v>
      </c>
      <c r="L782" s="1">
        <v>45689</v>
      </c>
      <c r="M782">
        <v>0.48783682634730502</v>
      </c>
      <c r="N782">
        <v>4.7077285209886201E-4</v>
      </c>
    </row>
    <row r="783" spans="1:14" x14ac:dyDescent="0.25">
      <c r="A783" t="s">
        <v>837</v>
      </c>
      <c r="B783">
        <v>6061</v>
      </c>
      <c r="C783">
        <v>2121</v>
      </c>
      <c r="D783">
        <v>19</v>
      </c>
      <c r="E783" t="s">
        <v>14</v>
      </c>
      <c r="F783" t="s">
        <v>35</v>
      </c>
      <c r="G783" t="s">
        <v>36</v>
      </c>
      <c r="H783" s="1">
        <v>44343</v>
      </c>
      <c r="I783" t="s">
        <v>838</v>
      </c>
      <c r="J783" t="s">
        <v>83</v>
      </c>
      <c r="K783" t="s">
        <v>98</v>
      </c>
      <c r="L783" s="1">
        <v>44317</v>
      </c>
      <c r="M783">
        <v>0.34994225375350602</v>
      </c>
      <c r="N783">
        <v>1.4907806983130601E-3</v>
      </c>
    </row>
    <row r="784" spans="1:14" x14ac:dyDescent="0.25">
      <c r="A784" t="s">
        <v>837</v>
      </c>
      <c r="B784">
        <v>6061</v>
      </c>
      <c r="C784">
        <v>2121</v>
      </c>
      <c r="D784">
        <v>19</v>
      </c>
      <c r="E784" t="s">
        <v>14</v>
      </c>
      <c r="F784" t="s">
        <v>35</v>
      </c>
      <c r="G784" t="s">
        <v>36</v>
      </c>
      <c r="H784" s="1">
        <v>44578</v>
      </c>
      <c r="I784" t="s">
        <v>839</v>
      </c>
      <c r="J784" t="s">
        <v>38</v>
      </c>
      <c r="K784" t="s">
        <v>66</v>
      </c>
      <c r="L784" s="1">
        <v>44562</v>
      </c>
      <c r="M784">
        <v>0.34994225375350602</v>
      </c>
      <c r="N784">
        <v>1.4907806983130601E-3</v>
      </c>
    </row>
    <row r="785" spans="1:14" x14ac:dyDescent="0.25">
      <c r="A785" t="s">
        <v>840</v>
      </c>
      <c r="B785">
        <v>5376</v>
      </c>
      <c r="C785">
        <v>1928</v>
      </c>
      <c r="D785">
        <v>7</v>
      </c>
      <c r="E785" t="s">
        <v>40</v>
      </c>
      <c r="F785" t="s">
        <v>41</v>
      </c>
      <c r="G785" t="s">
        <v>42</v>
      </c>
      <c r="H785" s="1">
        <v>45672</v>
      </c>
      <c r="I785" t="s">
        <v>841</v>
      </c>
      <c r="J785" t="s">
        <v>24</v>
      </c>
      <c r="K785" t="s">
        <v>46</v>
      </c>
      <c r="L785" s="1">
        <v>45658</v>
      </c>
      <c r="M785">
        <v>0.358630952380952</v>
      </c>
      <c r="N785">
        <v>5.4923499411533899E-4</v>
      </c>
    </row>
    <row r="786" spans="1:14" x14ac:dyDescent="0.25">
      <c r="A786" t="s">
        <v>842</v>
      </c>
      <c r="B786">
        <v>2792</v>
      </c>
      <c r="C786">
        <v>1008</v>
      </c>
      <c r="D786">
        <v>8</v>
      </c>
      <c r="E786" t="s">
        <v>14</v>
      </c>
      <c r="F786" t="s">
        <v>26</v>
      </c>
      <c r="G786" t="s">
        <v>57</v>
      </c>
      <c r="H786" s="1">
        <v>44241</v>
      </c>
      <c r="I786" t="s">
        <v>843</v>
      </c>
      <c r="J786" t="s">
        <v>18</v>
      </c>
      <c r="K786" t="s">
        <v>19</v>
      </c>
      <c r="L786" s="1">
        <v>44228</v>
      </c>
      <c r="M786">
        <v>0.361031518624642</v>
      </c>
      <c r="N786">
        <v>6.2769713613181597E-4</v>
      </c>
    </row>
    <row r="787" spans="1:14" x14ac:dyDescent="0.25">
      <c r="A787" t="s">
        <v>844</v>
      </c>
      <c r="B787">
        <v>2944</v>
      </c>
      <c r="C787">
        <v>249</v>
      </c>
      <c r="D787">
        <v>5</v>
      </c>
      <c r="E787" t="s">
        <v>28</v>
      </c>
      <c r="F787" t="s">
        <v>68</v>
      </c>
      <c r="G787" t="s">
        <v>42</v>
      </c>
      <c r="H787" s="1">
        <v>45535</v>
      </c>
      <c r="I787" t="s">
        <v>845</v>
      </c>
      <c r="J787" t="s">
        <v>83</v>
      </c>
      <c r="K787" t="s">
        <v>84</v>
      </c>
      <c r="L787" s="1">
        <v>45505</v>
      </c>
      <c r="M787">
        <v>8.4578804347826095E-2</v>
      </c>
      <c r="N787">
        <v>3.9231071008238503E-4</v>
      </c>
    </row>
    <row r="788" spans="1:14" x14ac:dyDescent="0.25">
      <c r="A788" t="s">
        <v>844</v>
      </c>
      <c r="B788">
        <v>2944</v>
      </c>
      <c r="C788">
        <v>249</v>
      </c>
      <c r="D788">
        <v>5</v>
      </c>
      <c r="E788" t="s">
        <v>28</v>
      </c>
      <c r="F788" t="s">
        <v>68</v>
      </c>
      <c r="G788" t="s">
        <v>42</v>
      </c>
      <c r="H788" s="1">
        <v>44921</v>
      </c>
      <c r="I788" t="s">
        <v>846</v>
      </c>
      <c r="J788" t="s">
        <v>63</v>
      </c>
      <c r="K788" t="s">
        <v>64</v>
      </c>
      <c r="L788" s="1">
        <v>44896</v>
      </c>
      <c r="M788">
        <v>8.4578804347826095E-2</v>
      </c>
      <c r="N788">
        <v>3.9231071008238503E-4</v>
      </c>
    </row>
    <row r="789" spans="1:14" x14ac:dyDescent="0.25">
      <c r="A789" t="s">
        <v>847</v>
      </c>
      <c r="B789">
        <v>4220</v>
      </c>
      <c r="C789">
        <v>945</v>
      </c>
      <c r="D789">
        <v>13</v>
      </c>
      <c r="E789" t="s">
        <v>28</v>
      </c>
      <c r="F789" t="s">
        <v>50</v>
      </c>
      <c r="G789" t="s">
        <v>36</v>
      </c>
      <c r="H789" s="1">
        <v>45372</v>
      </c>
      <c r="I789" t="s">
        <v>848</v>
      </c>
      <c r="J789" t="s">
        <v>21</v>
      </c>
      <c r="K789" t="s">
        <v>55</v>
      </c>
      <c r="L789" s="1">
        <v>45352</v>
      </c>
      <c r="M789">
        <v>0.22393364928910001</v>
      </c>
      <c r="N789">
        <v>1.0200078462141999E-3</v>
      </c>
    </row>
    <row r="790" spans="1:14" x14ac:dyDescent="0.25">
      <c r="A790" t="s">
        <v>847</v>
      </c>
      <c r="B790">
        <v>4220</v>
      </c>
      <c r="C790">
        <v>945</v>
      </c>
      <c r="D790">
        <v>13</v>
      </c>
      <c r="E790" t="s">
        <v>28</v>
      </c>
      <c r="F790" t="s">
        <v>50</v>
      </c>
      <c r="G790" t="s">
        <v>36</v>
      </c>
      <c r="H790" s="1">
        <v>44180</v>
      </c>
      <c r="I790" t="s">
        <v>849</v>
      </c>
      <c r="J790" t="s">
        <v>21</v>
      </c>
      <c r="K790" t="s">
        <v>138</v>
      </c>
      <c r="L790" s="1">
        <v>44166</v>
      </c>
      <c r="M790">
        <v>0.22393364928910001</v>
      </c>
      <c r="N790">
        <v>1.0200078462141999E-3</v>
      </c>
    </row>
    <row r="791" spans="1:14" x14ac:dyDescent="0.25">
      <c r="A791" t="s">
        <v>850</v>
      </c>
      <c r="B791">
        <v>8526</v>
      </c>
      <c r="C791">
        <v>1704</v>
      </c>
      <c r="D791">
        <v>4</v>
      </c>
      <c r="E791" t="s">
        <v>28</v>
      </c>
      <c r="F791" t="s">
        <v>68</v>
      </c>
      <c r="G791" t="s">
        <v>30</v>
      </c>
      <c r="H791" s="1">
        <v>45006</v>
      </c>
      <c r="I791" t="s">
        <v>851</v>
      </c>
      <c r="J791" t="s">
        <v>63</v>
      </c>
      <c r="K791" t="s">
        <v>75</v>
      </c>
      <c r="L791" s="1">
        <v>44986</v>
      </c>
      <c r="M791">
        <v>0.199859254046446</v>
      </c>
      <c r="N791">
        <v>3.1384856806590799E-4</v>
      </c>
    </row>
    <row r="792" spans="1:14" x14ac:dyDescent="0.25">
      <c r="A792" t="s">
        <v>852</v>
      </c>
      <c r="B792">
        <v>8218</v>
      </c>
      <c r="C792">
        <v>1430</v>
      </c>
      <c r="D792">
        <v>19</v>
      </c>
      <c r="E792" t="s">
        <v>40</v>
      </c>
      <c r="F792" t="s">
        <v>91</v>
      </c>
      <c r="G792" t="s">
        <v>42</v>
      </c>
      <c r="H792" s="1">
        <v>45085</v>
      </c>
      <c r="I792" t="s">
        <v>853</v>
      </c>
      <c r="J792" t="s">
        <v>38</v>
      </c>
      <c r="K792" t="s">
        <v>79</v>
      </c>
      <c r="L792" s="1">
        <v>45078</v>
      </c>
      <c r="M792">
        <v>0.174008274519348</v>
      </c>
      <c r="N792">
        <v>1.4907806983130601E-3</v>
      </c>
    </row>
    <row r="793" spans="1:14" x14ac:dyDescent="0.25">
      <c r="A793" t="s">
        <v>854</v>
      </c>
      <c r="B793">
        <v>599</v>
      </c>
      <c r="C793">
        <v>265</v>
      </c>
      <c r="D793">
        <v>4</v>
      </c>
      <c r="E793" t="s">
        <v>14</v>
      </c>
      <c r="F793" t="s">
        <v>71</v>
      </c>
      <c r="G793" t="s">
        <v>42</v>
      </c>
      <c r="H793" s="1">
        <v>44759</v>
      </c>
      <c r="I793" t="s">
        <v>855</v>
      </c>
      <c r="J793" t="s">
        <v>24</v>
      </c>
      <c r="K793" t="s">
        <v>25</v>
      </c>
      <c r="L793" s="1">
        <v>44743</v>
      </c>
      <c r="M793">
        <v>0.442404006677796</v>
      </c>
      <c r="N793">
        <v>3.1384856806590799E-4</v>
      </c>
    </row>
    <row r="794" spans="1:14" x14ac:dyDescent="0.25">
      <c r="A794" t="s">
        <v>854</v>
      </c>
      <c r="B794">
        <v>599</v>
      </c>
      <c r="C794">
        <v>265</v>
      </c>
      <c r="D794">
        <v>4</v>
      </c>
      <c r="E794" t="s">
        <v>14</v>
      </c>
      <c r="F794" t="s">
        <v>71</v>
      </c>
      <c r="G794" t="s">
        <v>42</v>
      </c>
      <c r="H794" s="1">
        <v>45631</v>
      </c>
      <c r="I794" t="s">
        <v>856</v>
      </c>
      <c r="J794" t="s">
        <v>24</v>
      </c>
      <c r="K794" t="s">
        <v>60</v>
      </c>
      <c r="L794" s="1">
        <v>45627</v>
      </c>
      <c r="M794">
        <v>0.442404006677796</v>
      </c>
      <c r="N794">
        <v>3.1384856806590799E-4</v>
      </c>
    </row>
    <row r="795" spans="1:14" x14ac:dyDescent="0.25">
      <c r="A795" t="s">
        <v>854</v>
      </c>
      <c r="B795">
        <v>2727</v>
      </c>
      <c r="C795">
        <v>543</v>
      </c>
      <c r="D795">
        <v>10</v>
      </c>
      <c r="E795" t="s">
        <v>40</v>
      </c>
      <c r="F795" t="s">
        <v>91</v>
      </c>
      <c r="G795" t="s">
        <v>42</v>
      </c>
      <c r="H795" s="1">
        <v>44759</v>
      </c>
      <c r="I795" t="s">
        <v>855</v>
      </c>
      <c r="J795" t="s">
        <v>24</v>
      </c>
      <c r="K795" t="s">
        <v>25</v>
      </c>
      <c r="L795" s="1">
        <v>44743</v>
      </c>
      <c r="M795">
        <v>0.19911991199119899</v>
      </c>
      <c r="N795">
        <v>7.8462142016477005E-4</v>
      </c>
    </row>
    <row r="796" spans="1:14" x14ac:dyDescent="0.25">
      <c r="A796" t="s">
        <v>854</v>
      </c>
      <c r="B796">
        <v>2727</v>
      </c>
      <c r="C796">
        <v>543</v>
      </c>
      <c r="D796">
        <v>10</v>
      </c>
      <c r="E796" t="s">
        <v>40</v>
      </c>
      <c r="F796" t="s">
        <v>91</v>
      </c>
      <c r="G796" t="s">
        <v>42</v>
      </c>
      <c r="H796" s="1">
        <v>45631</v>
      </c>
      <c r="I796" t="s">
        <v>856</v>
      </c>
      <c r="J796" t="s">
        <v>24</v>
      </c>
      <c r="K796" t="s">
        <v>60</v>
      </c>
      <c r="L796" s="1">
        <v>45627</v>
      </c>
      <c r="M796">
        <v>0.19911991199119899</v>
      </c>
      <c r="N796">
        <v>7.8462142016477005E-4</v>
      </c>
    </row>
    <row r="797" spans="1:14" x14ac:dyDescent="0.25">
      <c r="A797" t="s">
        <v>857</v>
      </c>
      <c r="B797">
        <v>2589</v>
      </c>
      <c r="C797">
        <v>605</v>
      </c>
      <c r="D797">
        <v>11</v>
      </c>
      <c r="E797" t="s">
        <v>28</v>
      </c>
      <c r="F797" t="s">
        <v>29</v>
      </c>
      <c r="G797" t="s">
        <v>36</v>
      </c>
      <c r="H797" s="1">
        <v>45232</v>
      </c>
      <c r="I797" t="s">
        <v>858</v>
      </c>
      <c r="J797" t="s">
        <v>38</v>
      </c>
      <c r="K797" t="s">
        <v>79</v>
      </c>
      <c r="L797" s="1">
        <v>45231</v>
      </c>
      <c r="M797">
        <v>0.233680957898803</v>
      </c>
      <c r="N797">
        <v>8.6308356218124801E-4</v>
      </c>
    </row>
    <row r="798" spans="1:14" x14ac:dyDescent="0.25">
      <c r="A798" t="s">
        <v>857</v>
      </c>
      <c r="B798">
        <v>2589</v>
      </c>
      <c r="C798">
        <v>605</v>
      </c>
      <c r="D798">
        <v>11</v>
      </c>
      <c r="E798" t="s">
        <v>28</v>
      </c>
      <c r="F798" t="s">
        <v>29</v>
      </c>
      <c r="G798" t="s">
        <v>36</v>
      </c>
      <c r="H798" s="1">
        <v>45570</v>
      </c>
      <c r="I798" t="s">
        <v>859</v>
      </c>
      <c r="J798" t="s">
        <v>83</v>
      </c>
      <c r="K798" t="s">
        <v>98</v>
      </c>
      <c r="L798" s="1">
        <v>45566</v>
      </c>
      <c r="M798">
        <v>0.233680957898803</v>
      </c>
      <c r="N798">
        <v>8.6308356218124801E-4</v>
      </c>
    </row>
    <row r="799" spans="1:14" x14ac:dyDescent="0.25">
      <c r="A799" t="s">
        <v>860</v>
      </c>
      <c r="B799">
        <v>3776</v>
      </c>
      <c r="C799">
        <v>1100</v>
      </c>
      <c r="D799">
        <v>9</v>
      </c>
      <c r="E799" t="s">
        <v>14</v>
      </c>
      <c r="F799" t="s">
        <v>15</v>
      </c>
      <c r="G799" t="s">
        <v>36</v>
      </c>
      <c r="H799" s="1">
        <v>44878</v>
      </c>
      <c r="I799" t="s">
        <v>861</v>
      </c>
      <c r="J799" t="s">
        <v>63</v>
      </c>
      <c r="K799" t="s">
        <v>75</v>
      </c>
      <c r="L799" s="1">
        <v>44866</v>
      </c>
      <c r="M799">
        <v>0.29131355932203401</v>
      </c>
      <c r="N799">
        <v>7.0615927814829404E-4</v>
      </c>
    </row>
    <row r="800" spans="1:14" x14ac:dyDescent="0.25">
      <c r="A800" t="s">
        <v>860</v>
      </c>
      <c r="B800">
        <v>3776</v>
      </c>
      <c r="C800">
        <v>1100</v>
      </c>
      <c r="D800">
        <v>9</v>
      </c>
      <c r="E800" t="s">
        <v>14</v>
      </c>
      <c r="F800" t="s">
        <v>15</v>
      </c>
      <c r="G800" t="s">
        <v>36</v>
      </c>
      <c r="H800" s="1">
        <v>44923</v>
      </c>
      <c r="I800" t="s">
        <v>862</v>
      </c>
      <c r="J800" t="s">
        <v>21</v>
      </c>
      <c r="K800" t="s">
        <v>138</v>
      </c>
      <c r="L800" s="1">
        <v>44896</v>
      </c>
      <c r="M800">
        <v>0.29131355932203401</v>
      </c>
      <c r="N800">
        <v>7.0615927814829404E-4</v>
      </c>
    </row>
    <row r="801" spans="1:14" x14ac:dyDescent="0.25">
      <c r="A801" t="s">
        <v>863</v>
      </c>
      <c r="B801">
        <v>5402</v>
      </c>
      <c r="C801">
        <v>1666</v>
      </c>
      <c r="D801">
        <v>12</v>
      </c>
      <c r="E801" t="s">
        <v>40</v>
      </c>
      <c r="F801" t="s">
        <v>91</v>
      </c>
      <c r="G801" t="s">
        <v>36</v>
      </c>
      <c r="H801" s="1">
        <v>45714</v>
      </c>
      <c r="I801" t="s">
        <v>864</v>
      </c>
      <c r="J801" t="s">
        <v>83</v>
      </c>
      <c r="K801" t="s">
        <v>98</v>
      </c>
      <c r="L801" s="1">
        <v>45689</v>
      </c>
      <c r="M801">
        <v>0.30840429470566499</v>
      </c>
      <c r="N801">
        <v>9.4154570419772402E-4</v>
      </c>
    </row>
    <row r="802" spans="1:14" x14ac:dyDescent="0.25">
      <c r="A802" t="s">
        <v>865</v>
      </c>
      <c r="B802">
        <v>5165</v>
      </c>
      <c r="C802">
        <v>885</v>
      </c>
      <c r="D802">
        <v>16</v>
      </c>
      <c r="E802" t="s">
        <v>28</v>
      </c>
      <c r="F802" t="s">
        <v>29</v>
      </c>
      <c r="G802" t="s">
        <v>36</v>
      </c>
      <c r="H802" s="1">
        <v>44877</v>
      </c>
      <c r="I802" t="s">
        <v>866</v>
      </c>
      <c r="J802" t="s">
        <v>21</v>
      </c>
      <c r="K802" t="s">
        <v>138</v>
      </c>
      <c r="L802" s="1">
        <v>44866</v>
      </c>
      <c r="M802">
        <v>0.17134559535334001</v>
      </c>
      <c r="N802">
        <v>1.25539427226363E-3</v>
      </c>
    </row>
    <row r="803" spans="1:14" x14ac:dyDescent="0.25">
      <c r="A803" t="s">
        <v>865</v>
      </c>
      <c r="B803">
        <v>4863</v>
      </c>
      <c r="C803">
        <v>2394</v>
      </c>
      <c r="D803">
        <v>4</v>
      </c>
      <c r="E803" t="s">
        <v>40</v>
      </c>
      <c r="F803" t="s">
        <v>91</v>
      </c>
      <c r="G803" t="s">
        <v>36</v>
      </c>
      <c r="H803" s="1">
        <v>44877</v>
      </c>
      <c r="I803" t="s">
        <v>866</v>
      </c>
      <c r="J803" t="s">
        <v>21</v>
      </c>
      <c r="K803" t="s">
        <v>138</v>
      </c>
      <c r="L803" s="1">
        <v>44866</v>
      </c>
      <c r="M803">
        <v>0.49228871067242402</v>
      </c>
      <c r="N803">
        <v>3.1384856806590799E-4</v>
      </c>
    </row>
    <row r="804" spans="1:14" x14ac:dyDescent="0.25">
      <c r="A804" t="s">
        <v>867</v>
      </c>
      <c r="B804">
        <v>1626</v>
      </c>
      <c r="C804">
        <v>258</v>
      </c>
      <c r="D804">
        <v>15</v>
      </c>
      <c r="E804" t="s">
        <v>28</v>
      </c>
      <c r="F804" t="s">
        <v>29</v>
      </c>
      <c r="G804" t="s">
        <v>36</v>
      </c>
      <c r="H804" s="1">
        <v>44354</v>
      </c>
      <c r="I804" t="s">
        <v>868</v>
      </c>
      <c r="J804" t="s">
        <v>18</v>
      </c>
      <c r="K804" t="s">
        <v>32</v>
      </c>
      <c r="L804" s="1">
        <v>44348</v>
      </c>
      <c r="M804">
        <v>0.15867158671586701</v>
      </c>
      <c r="N804">
        <v>1.17693213024716E-3</v>
      </c>
    </row>
    <row r="805" spans="1:14" x14ac:dyDescent="0.25">
      <c r="A805" t="s">
        <v>869</v>
      </c>
      <c r="B805">
        <v>8851</v>
      </c>
      <c r="C805">
        <v>3962</v>
      </c>
      <c r="D805">
        <v>7</v>
      </c>
      <c r="E805" t="s">
        <v>40</v>
      </c>
      <c r="F805" t="s">
        <v>41</v>
      </c>
      <c r="G805" t="s">
        <v>36</v>
      </c>
      <c r="H805" s="1">
        <v>44100</v>
      </c>
      <c r="I805" t="s">
        <v>870</v>
      </c>
      <c r="J805" t="s">
        <v>18</v>
      </c>
      <c r="K805" t="s">
        <v>19</v>
      </c>
      <c r="L805" s="1">
        <v>44075</v>
      </c>
      <c r="M805">
        <v>0.44763303581516201</v>
      </c>
      <c r="N805">
        <v>5.4923499411533899E-4</v>
      </c>
    </row>
    <row r="806" spans="1:14" x14ac:dyDescent="0.25">
      <c r="A806" t="s">
        <v>871</v>
      </c>
      <c r="B806">
        <v>9680</v>
      </c>
      <c r="C806">
        <v>3295</v>
      </c>
      <c r="D806">
        <v>9</v>
      </c>
      <c r="E806" t="s">
        <v>40</v>
      </c>
      <c r="F806" t="s">
        <v>41</v>
      </c>
      <c r="G806" t="s">
        <v>57</v>
      </c>
      <c r="H806" s="1">
        <v>45411</v>
      </c>
      <c r="I806" t="s">
        <v>872</v>
      </c>
      <c r="J806" t="s">
        <v>24</v>
      </c>
      <c r="K806" t="s">
        <v>60</v>
      </c>
      <c r="L806" s="1">
        <v>45383</v>
      </c>
      <c r="M806">
        <v>0.34039256198347101</v>
      </c>
      <c r="N806">
        <v>7.0615927814829404E-4</v>
      </c>
    </row>
    <row r="807" spans="1:14" x14ac:dyDescent="0.25">
      <c r="A807" t="s">
        <v>871</v>
      </c>
      <c r="B807">
        <v>8468</v>
      </c>
      <c r="C807">
        <v>3666</v>
      </c>
      <c r="D807">
        <v>8</v>
      </c>
      <c r="E807" t="s">
        <v>28</v>
      </c>
      <c r="F807" t="s">
        <v>29</v>
      </c>
      <c r="G807" t="s">
        <v>16</v>
      </c>
      <c r="H807" s="1">
        <v>45411</v>
      </c>
      <c r="I807" t="s">
        <v>872</v>
      </c>
      <c r="J807" t="s">
        <v>24</v>
      </c>
      <c r="K807" t="s">
        <v>60</v>
      </c>
      <c r="L807" s="1">
        <v>45383</v>
      </c>
      <c r="M807">
        <v>0.432923948984412</v>
      </c>
      <c r="N807">
        <v>6.2769713613181597E-4</v>
      </c>
    </row>
    <row r="808" spans="1:14" x14ac:dyDescent="0.25">
      <c r="A808" t="s">
        <v>871</v>
      </c>
      <c r="B808">
        <v>4441</v>
      </c>
      <c r="C808">
        <v>314</v>
      </c>
      <c r="D808">
        <v>14</v>
      </c>
      <c r="E808" t="s">
        <v>40</v>
      </c>
      <c r="F808" t="s">
        <v>44</v>
      </c>
      <c r="G808" t="s">
        <v>30</v>
      </c>
      <c r="H808" s="1">
        <v>45411</v>
      </c>
      <c r="I808" t="s">
        <v>872</v>
      </c>
      <c r="J808" t="s">
        <v>24</v>
      </c>
      <c r="K808" t="s">
        <v>60</v>
      </c>
      <c r="L808" s="1">
        <v>45383</v>
      </c>
      <c r="M808">
        <v>7.0704796217068197E-2</v>
      </c>
      <c r="N808">
        <v>1.0984699882306799E-3</v>
      </c>
    </row>
    <row r="809" spans="1:14" x14ac:dyDescent="0.25">
      <c r="A809" t="s">
        <v>873</v>
      </c>
      <c r="B809">
        <v>6622</v>
      </c>
      <c r="C809">
        <v>2673</v>
      </c>
      <c r="D809">
        <v>8</v>
      </c>
      <c r="E809" t="s">
        <v>40</v>
      </c>
      <c r="F809" t="s">
        <v>52</v>
      </c>
      <c r="G809" t="s">
        <v>57</v>
      </c>
      <c r="H809" s="1">
        <v>45392</v>
      </c>
      <c r="I809" t="s">
        <v>874</v>
      </c>
      <c r="J809" t="s">
        <v>24</v>
      </c>
      <c r="K809" t="s">
        <v>46</v>
      </c>
      <c r="L809" s="1">
        <v>45383</v>
      </c>
      <c r="M809">
        <v>0.40365448504983398</v>
      </c>
      <c r="N809">
        <v>6.2769713613181597E-4</v>
      </c>
    </row>
    <row r="810" spans="1:14" x14ac:dyDescent="0.25">
      <c r="A810" t="s">
        <v>875</v>
      </c>
      <c r="B810">
        <v>3260</v>
      </c>
      <c r="C810">
        <v>207</v>
      </c>
      <c r="D810">
        <v>17</v>
      </c>
      <c r="E810" t="s">
        <v>40</v>
      </c>
      <c r="F810" t="s">
        <v>41</v>
      </c>
      <c r="G810" t="s">
        <v>16</v>
      </c>
      <c r="H810" s="1">
        <v>45281</v>
      </c>
      <c r="I810" t="s">
        <v>876</v>
      </c>
      <c r="J810" t="s">
        <v>38</v>
      </c>
      <c r="K810" t="s">
        <v>66</v>
      </c>
      <c r="L810" s="1">
        <v>45261</v>
      </c>
      <c r="M810">
        <v>6.3496932515337404E-2</v>
      </c>
      <c r="N810">
        <v>1.33385641428011E-3</v>
      </c>
    </row>
    <row r="811" spans="1:14" x14ac:dyDescent="0.25">
      <c r="A811" t="s">
        <v>877</v>
      </c>
      <c r="B811">
        <v>8709</v>
      </c>
      <c r="C811">
        <v>2322</v>
      </c>
      <c r="D811">
        <v>8</v>
      </c>
      <c r="E811" t="s">
        <v>40</v>
      </c>
      <c r="F811" t="s">
        <v>41</v>
      </c>
      <c r="G811" t="s">
        <v>30</v>
      </c>
      <c r="H811" s="1">
        <v>45414</v>
      </c>
      <c r="I811" t="s">
        <v>878</v>
      </c>
      <c r="J811" t="s">
        <v>63</v>
      </c>
      <c r="K811" t="s">
        <v>75</v>
      </c>
      <c r="L811" s="1">
        <v>45413</v>
      </c>
      <c r="M811">
        <v>0.26662073716844598</v>
      </c>
      <c r="N811">
        <v>6.2769713613181597E-4</v>
      </c>
    </row>
    <row r="812" spans="1:14" x14ac:dyDescent="0.25">
      <c r="A812" t="s">
        <v>877</v>
      </c>
      <c r="B812">
        <v>8709</v>
      </c>
      <c r="C812">
        <v>2322</v>
      </c>
      <c r="D812">
        <v>8</v>
      </c>
      <c r="E812" t="s">
        <v>40</v>
      </c>
      <c r="F812" t="s">
        <v>41</v>
      </c>
      <c r="G812" t="s">
        <v>30</v>
      </c>
      <c r="H812" s="1">
        <v>45617</v>
      </c>
      <c r="I812" t="s">
        <v>879</v>
      </c>
      <c r="J812" t="s">
        <v>38</v>
      </c>
      <c r="K812" t="s">
        <v>79</v>
      </c>
      <c r="L812" s="1">
        <v>45597</v>
      </c>
      <c r="M812">
        <v>0.26662073716844598</v>
      </c>
      <c r="N812">
        <v>6.2769713613181597E-4</v>
      </c>
    </row>
    <row r="813" spans="1:14" x14ac:dyDescent="0.25">
      <c r="A813" t="s">
        <v>880</v>
      </c>
      <c r="B813">
        <v>5250</v>
      </c>
      <c r="C813">
        <v>187</v>
      </c>
      <c r="D813">
        <v>1</v>
      </c>
      <c r="E813" t="s">
        <v>28</v>
      </c>
      <c r="F813" t="s">
        <v>68</v>
      </c>
      <c r="G813" t="s">
        <v>57</v>
      </c>
      <c r="H813" s="1">
        <v>44637</v>
      </c>
      <c r="I813" t="s">
        <v>881</v>
      </c>
      <c r="J813" t="s">
        <v>83</v>
      </c>
      <c r="K813" t="s">
        <v>90</v>
      </c>
      <c r="L813" s="1">
        <v>44621</v>
      </c>
      <c r="M813">
        <v>3.5619047619047599E-2</v>
      </c>
      <c r="N813">
        <v>7.8462142016476997E-5</v>
      </c>
    </row>
    <row r="814" spans="1:14" x14ac:dyDescent="0.25">
      <c r="A814" t="s">
        <v>880</v>
      </c>
      <c r="B814">
        <v>5250</v>
      </c>
      <c r="C814">
        <v>187</v>
      </c>
      <c r="D814">
        <v>1</v>
      </c>
      <c r="E814" t="s">
        <v>28</v>
      </c>
      <c r="F814" t="s">
        <v>68</v>
      </c>
      <c r="G814" t="s">
        <v>57</v>
      </c>
      <c r="H814" s="1">
        <v>45060</v>
      </c>
      <c r="I814" t="s">
        <v>882</v>
      </c>
      <c r="J814" t="s">
        <v>63</v>
      </c>
      <c r="K814" t="s">
        <v>112</v>
      </c>
      <c r="L814" s="1">
        <v>45047</v>
      </c>
      <c r="M814">
        <v>3.5619047619047599E-2</v>
      </c>
      <c r="N814">
        <v>7.8462142016476997E-5</v>
      </c>
    </row>
    <row r="815" spans="1:14" x14ac:dyDescent="0.25">
      <c r="A815" t="s">
        <v>883</v>
      </c>
      <c r="B815">
        <v>4116</v>
      </c>
      <c r="C815">
        <v>921</v>
      </c>
      <c r="D815">
        <v>20</v>
      </c>
      <c r="E815" t="s">
        <v>28</v>
      </c>
      <c r="F815" t="s">
        <v>56</v>
      </c>
      <c r="G815" t="s">
        <v>16</v>
      </c>
      <c r="H815" s="1">
        <v>45572</v>
      </c>
      <c r="I815" t="s">
        <v>884</v>
      </c>
      <c r="J815" t="s">
        <v>38</v>
      </c>
      <c r="K815" t="s">
        <v>39</v>
      </c>
      <c r="L815" s="1">
        <v>45566</v>
      </c>
      <c r="M815">
        <v>0.223760932944606</v>
      </c>
      <c r="N815">
        <v>1.5692428403295401E-3</v>
      </c>
    </row>
    <row r="816" spans="1:14" x14ac:dyDescent="0.25">
      <c r="A816" t="s">
        <v>883</v>
      </c>
      <c r="B816">
        <v>4116</v>
      </c>
      <c r="C816">
        <v>921</v>
      </c>
      <c r="D816">
        <v>20</v>
      </c>
      <c r="E816" t="s">
        <v>28</v>
      </c>
      <c r="F816" t="s">
        <v>56</v>
      </c>
      <c r="G816" t="s">
        <v>16</v>
      </c>
      <c r="H816" s="1">
        <v>44082</v>
      </c>
      <c r="I816" t="s">
        <v>885</v>
      </c>
      <c r="J816" t="s">
        <v>21</v>
      </c>
      <c r="K816" t="s">
        <v>55</v>
      </c>
      <c r="L816" s="1">
        <v>44075</v>
      </c>
      <c r="M816">
        <v>0.223760932944606</v>
      </c>
      <c r="N816">
        <v>1.5692428403295401E-3</v>
      </c>
    </row>
    <row r="817" spans="1:14" x14ac:dyDescent="0.25">
      <c r="A817" t="s">
        <v>886</v>
      </c>
      <c r="B817">
        <v>1109</v>
      </c>
      <c r="C817">
        <v>418</v>
      </c>
      <c r="D817">
        <v>15</v>
      </c>
      <c r="E817" t="s">
        <v>28</v>
      </c>
      <c r="F817" t="s">
        <v>56</v>
      </c>
      <c r="G817" t="s">
        <v>16</v>
      </c>
      <c r="H817" s="1">
        <v>44427</v>
      </c>
      <c r="I817" t="s">
        <v>887</v>
      </c>
      <c r="J817" t="s">
        <v>38</v>
      </c>
      <c r="K817" t="s">
        <v>39</v>
      </c>
      <c r="L817" s="1">
        <v>44409</v>
      </c>
      <c r="M817">
        <v>0.37691614066726797</v>
      </c>
      <c r="N817">
        <v>1.17693213024716E-3</v>
      </c>
    </row>
    <row r="818" spans="1:14" x14ac:dyDescent="0.25">
      <c r="A818" t="s">
        <v>888</v>
      </c>
      <c r="B818">
        <v>3573</v>
      </c>
      <c r="C818">
        <v>562</v>
      </c>
      <c r="D818">
        <v>7</v>
      </c>
      <c r="E818" t="s">
        <v>28</v>
      </c>
      <c r="F818" t="s">
        <v>29</v>
      </c>
      <c r="G818" t="s">
        <v>36</v>
      </c>
      <c r="H818" s="1">
        <v>44846</v>
      </c>
      <c r="I818" t="s">
        <v>395</v>
      </c>
      <c r="J818" t="s">
        <v>24</v>
      </c>
      <c r="K818" t="s">
        <v>60</v>
      </c>
      <c r="L818" s="1">
        <v>44835</v>
      </c>
      <c r="M818">
        <v>0.15729079205149701</v>
      </c>
      <c r="N818">
        <v>5.4923499411533899E-4</v>
      </c>
    </row>
    <row r="819" spans="1:14" x14ac:dyDescent="0.25">
      <c r="A819" t="s">
        <v>888</v>
      </c>
      <c r="B819">
        <v>3573</v>
      </c>
      <c r="C819">
        <v>562</v>
      </c>
      <c r="D819">
        <v>7</v>
      </c>
      <c r="E819" t="s">
        <v>28</v>
      </c>
      <c r="F819" t="s">
        <v>29</v>
      </c>
      <c r="G819" t="s">
        <v>36</v>
      </c>
      <c r="H819" s="1">
        <v>43974</v>
      </c>
      <c r="I819" t="s">
        <v>889</v>
      </c>
      <c r="J819" t="s">
        <v>38</v>
      </c>
      <c r="K819" t="s">
        <v>66</v>
      </c>
      <c r="L819" s="1">
        <v>43952</v>
      </c>
      <c r="M819">
        <v>0.15729079205149701</v>
      </c>
      <c r="N819">
        <v>5.4923499411533899E-4</v>
      </c>
    </row>
    <row r="820" spans="1:14" x14ac:dyDescent="0.25">
      <c r="A820" t="s">
        <v>888</v>
      </c>
      <c r="B820">
        <v>3573</v>
      </c>
      <c r="C820">
        <v>562</v>
      </c>
      <c r="D820">
        <v>7</v>
      </c>
      <c r="E820" t="s">
        <v>28</v>
      </c>
      <c r="F820" t="s">
        <v>29</v>
      </c>
      <c r="G820" t="s">
        <v>36</v>
      </c>
      <c r="H820" s="1">
        <v>43939</v>
      </c>
      <c r="I820" t="s">
        <v>890</v>
      </c>
      <c r="J820" t="s">
        <v>18</v>
      </c>
      <c r="K820" t="s">
        <v>122</v>
      </c>
      <c r="L820" s="1">
        <v>43922</v>
      </c>
      <c r="M820">
        <v>0.15729079205149701</v>
      </c>
      <c r="N820">
        <v>5.4923499411533899E-4</v>
      </c>
    </row>
    <row r="821" spans="1:14" x14ac:dyDescent="0.25">
      <c r="A821" t="s">
        <v>888</v>
      </c>
      <c r="B821">
        <v>8055</v>
      </c>
      <c r="C821">
        <v>661</v>
      </c>
      <c r="D821">
        <v>10</v>
      </c>
      <c r="E821" t="s">
        <v>14</v>
      </c>
      <c r="F821" t="s">
        <v>71</v>
      </c>
      <c r="G821" t="s">
        <v>36</v>
      </c>
      <c r="H821" s="1">
        <v>44846</v>
      </c>
      <c r="I821" t="s">
        <v>395</v>
      </c>
      <c r="J821" t="s">
        <v>24</v>
      </c>
      <c r="K821" t="s">
        <v>60</v>
      </c>
      <c r="L821" s="1">
        <v>44835</v>
      </c>
      <c r="M821">
        <v>8.2060831781502197E-2</v>
      </c>
      <c r="N821">
        <v>7.8462142016477005E-4</v>
      </c>
    </row>
    <row r="822" spans="1:14" x14ac:dyDescent="0.25">
      <c r="A822" t="s">
        <v>888</v>
      </c>
      <c r="B822">
        <v>8055</v>
      </c>
      <c r="C822">
        <v>661</v>
      </c>
      <c r="D822">
        <v>10</v>
      </c>
      <c r="E822" t="s">
        <v>14</v>
      </c>
      <c r="F822" t="s">
        <v>71</v>
      </c>
      <c r="G822" t="s">
        <v>36</v>
      </c>
      <c r="H822" s="1">
        <v>43974</v>
      </c>
      <c r="I822" t="s">
        <v>889</v>
      </c>
      <c r="J822" t="s">
        <v>38</v>
      </c>
      <c r="K822" t="s">
        <v>66</v>
      </c>
      <c r="L822" s="1">
        <v>43952</v>
      </c>
      <c r="M822">
        <v>8.2060831781502197E-2</v>
      </c>
      <c r="N822">
        <v>7.8462142016477005E-4</v>
      </c>
    </row>
    <row r="823" spans="1:14" x14ac:dyDescent="0.25">
      <c r="A823" t="s">
        <v>888</v>
      </c>
      <c r="B823">
        <v>8055</v>
      </c>
      <c r="C823">
        <v>661</v>
      </c>
      <c r="D823">
        <v>10</v>
      </c>
      <c r="E823" t="s">
        <v>14</v>
      </c>
      <c r="F823" t="s">
        <v>71</v>
      </c>
      <c r="G823" t="s">
        <v>36</v>
      </c>
      <c r="H823" s="1">
        <v>43939</v>
      </c>
      <c r="I823" t="s">
        <v>890</v>
      </c>
      <c r="J823" t="s">
        <v>18</v>
      </c>
      <c r="K823" t="s">
        <v>122</v>
      </c>
      <c r="L823" s="1">
        <v>43922</v>
      </c>
      <c r="M823">
        <v>8.2060831781502197E-2</v>
      </c>
      <c r="N823">
        <v>7.8462142016477005E-4</v>
      </c>
    </row>
    <row r="824" spans="1:14" x14ac:dyDescent="0.25">
      <c r="A824" t="s">
        <v>891</v>
      </c>
      <c r="B824">
        <v>6829</v>
      </c>
      <c r="C824">
        <v>2609</v>
      </c>
      <c r="D824">
        <v>2</v>
      </c>
      <c r="E824" t="s">
        <v>14</v>
      </c>
      <c r="F824" t="s">
        <v>35</v>
      </c>
      <c r="G824" t="s">
        <v>36</v>
      </c>
      <c r="H824" s="1">
        <v>44716</v>
      </c>
      <c r="I824" t="s">
        <v>892</v>
      </c>
      <c r="J824" t="s">
        <v>38</v>
      </c>
      <c r="K824" t="s">
        <v>79</v>
      </c>
      <c r="L824" s="1">
        <v>44713</v>
      </c>
      <c r="M824">
        <v>0.38204715185239402</v>
      </c>
      <c r="N824">
        <v>1.5692428403295399E-4</v>
      </c>
    </row>
    <row r="825" spans="1:14" x14ac:dyDescent="0.25">
      <c r="A825" t="s">
        <v>891</v>
      </c>
      <c r="B825">
        <v>6390</v>
      </c>
      <c r="C825">
        <v>3089</v>
      </c>
      <c r="D825">
        <v>12</v>
      </c>
      <c r="E825" t="s">
        <v>28</v>
      </c>
      <c r="F825" t="s">
        <v>56</v>
      </c>
      <c r="G825" t="s">
        <v>57</v>
      </c>
      <c r="H825" s="1">
        <v>44716</v>
      </c>
      <c r="I825" t="s">
        <v>892</v>
      </c>
      <c r="J825" t="s">
        <v>38</v>
      </c>
      <c r="K825" t="s">
        <v>79</v>
      </c>
      <c r="L825" s="1">
        <v>44713</v>
      </c>
      <c r="M825">
        <v>0.48341158059467898</v>
      </c>
      <c r="N825">
        <v>9.4154570419772402E-4</v>
      </c>
    </row>
    <row r="826" spans="1:14" x14ac:dyDescent="0.25">
      <c r="A826" t="s">
        <v>893</v>
      </c>
      <c r="B826">
        <v>5831</v>
      </c>
      <c r="C826">
        <v>1574</v>
      </c>
      <c r="D826">
        <v>17</v>
      </c>
      <c r="E826" t="s">
        <v>28</v>
      </c>
      <c r="F826" t="s">
        <v>29</v>
      </c>
      <c r="G826" t="s">
        <v>30</v>
      </c>
      <c r="H826" s="1">
        <v>44881</v>
      </c>
      <c r="I826" t="s">
        <v>894</v>
      </c>
      <c r="J826" t="s">
        <v>38</v>
      </c>
      <c r="K826" t="s">
        <v>79</v>
      </c>
      <c r="L826" s="1">
        <v>44866</v>
      </c>
      <c r="M826">
        <v>0.26993654604699002</v>
      </c>
      <c r="N826">
        <v>1.33385641428011E-3</v>
      </c>
    </row>
    <row r="827" spans="1:14" x14ac:dyDescent="0.25">
      <c r="A827" t="s">
        <v>893</v>
      </c>
      <c r="B827">
        <v>5831</v>
      </c>
      <c r="C827">
        <v>1574</v>
      </c>
      <c r="D827">
        <v>17</v>
      </c>
      <c r="E827" t="s">
        <v>28</v>
      </c>
      <c r="F827" t="s">
        <v>29</v>
      </c>
      <c r="G827" t="s">
        <v>30</v>
      </c>
      <c r="H827" s="1">
        <v>45491</v>
      </c>
      <c r="I827" t="s">
        <v>895</v>
      </c>
      <c r="J827" t="s">
        <v>38</v>
      </c>
      <c r="K827" t="s">
        <v>66</v>
      </c>
      <c r="L827" s="1">
        <v>45474</v>
      </c>
      <c r="M827">
        <v>0.26993654604699002</v>
      </c>
      <c r="N827">
        <v>1.33385641428011E-3</v>
      </c>
    </row>
    <row r="828" spans="1:14" x14ac:dyDescent="0.25">
      <c r="A828" t="s">
        <v>893</v>
      </c>
      <c r="B828">
        <v>5831</v>
      </c>
      <c r="C828">
        <v>1574</v>
      </c>
      <c r="D828">
        <v>17</v>
      </c>
      <c r="E828" t="s">
        <v>28</v>
      </c>
      <c r="F828" t="s">
        <v>29</v>
      </c>
      <c r="G828" t="s">
        <v>30</v>
      </c>
      <c r="H828" s="1">
        <v>45123</v>
      </c>
      <c r="I828" t="s">
        <v>896</v>
      </c>
      <c r="J828" t="s">
        <v>18</v>
      </c>
      <c r="K828" t="s">
        <v>19</v>
      </c>
      <c r="L828" s="1">
        <v>45108</v>
      </c>
      <c r="M828">
        <v>0.26993654604699002</v>
      </c>
      <c r="N828">
        <v>1.33385641428011E-3</v>
      </c>
    </row>
    <row r="829" spans="1:14" x14ac:dyDescent="0.25">
      <c r="A829" t="s">
        <v>897</v>
      </c>
      <c r="B829">
        <v>7952</v>
      </c>
      <c r="C829">
        <v>3865</v>
      </c>
      <c r="D829">
        <v>8</v>
      </c>
      <c r="E829" t="s">
        <v>40</v>
      </c>
      <c r="F829" t="s">
        <v>52</v>
      </c>
      <c r="G829" t="s">
        <v>30</v>
      </c>
      <c r="H829" s="1">
        <v>44053</v>
      </c>
      <c r="I829" t="s">
        <v>898</v>
      </c>
      <c r="J829" t="s">
        <v>21</v>
      </c>
      <c r="K829" t="s">
        <v>138</v>
      </c>
      <c r="L829" s="1">
        <v>44044</v>
      </c>
      <c r="M829">
        <v>0.48604124748490901</v>
      </c>
      <c r="N829">
        <v>6.2769713613181597E-4</v>
      </c>
    </row>
    <row r="830" spans="1:14" x14ac:dyDescent="0.25">
      <c r="A830" t="s">
        <v>899</v>
      </c>
      <c r="B830">
        <v>3659</v>
      </c>
      <c r="C830">
        <v>379</v>
      </c>
      <c r="D830">
        <v>5</v>
      </c>
      <c r="E830" t="s">
        <v>40</v>
      </c>
      <c r="F830" t="s">
        <v>91</v>
      </c>
      <c r="G830" t="s">
        <v>16</v>
      </c>
      <c r="H830" s="1">
        <v>45465</v>
      </c>
      <c r="I830" t="s">
        <v>900</v>
      </c>
      <c r="J830" t="s">
        <v>38</v>
      </c>
      <c r="K830" t="s">
        <v>39</v>
      </c>
      <c r="L830" s="1">
        <v>45444</v>
      </c>
      <c r="M830">
        <v>0.103580213172998</v>
      </c>
      <c r="N830">
        <v>3.9231071008238503E-4</v>
      </c>
    </row>
    <row r="831" spans="1:14" x14ac:dyDescent="0.25">
      <c r="A831" t="s">
        <v>901</v>
      </c>
      <c r="B831">
        <v>4183</v>
      </c>
      <c r="C831">
        <v>1159</v>
      </c>
      <c r="D831">
        <v>4</v>
      </c>
      <c r="E831" t="s">
        <v>28</v>
      </c>
      <c r="F831" t="s">
        <v>29</v>
      </c>
      <c r="G831" t="s">
        <v>30</v>
      </c>
      <c r="H831" s="1">
        <v>44025</v>
      </c>
      <c r="I831" t="s">
        <v>902</v>
      </c>
      <c r="J831" t="s">
        <v>21</v>
      </c>
      <c r="K831" t="s">
        <v>55</v>
      </c>
      <c r="L831" s="1">
        <v>44013</v>
      </c>
      <c r="M831">
        <v>0.27707387042792297</v>
      </c>
      <c r="N831">
        <v>3.1384856806590799E-4</v>
      </c>
    </row>
    <row r="832" spans="1:14" x14ac:dyDescent="0.25">
      <c r="A832" t="s">
        <v>903</v>
      </c>
      <c r="B832">
        <v>7478</v>
      </c>
      <c r="C832">
        <v>1381</v>
      </c>
      <c r="D832">
        <v>11</v>
      </c>
      <c r="E832" t="s">
        <v>14</v>
      </c>
      <c r="F832" t="s">
        <v>71</v>
      </c>
      <c r="G832" t="s">
        <v>36</v>
      </c>
      <c r="H832" s="1">
        <v>45398</v>
      </c>
      <c r="I832" t="s">
        <v>904</v>
      </c>
      <c r="J832" t="s">
        <v>63</v>
      </c>
      <c r="K832" t="s">
        <v>112</v>
      </c>
      <c r="L832" s="1">
        <v>45383</v>
      </c>
      <c r="M832">
        <v>0.18467504680395799</v>
      </c>
      <c r="N832">
        <v>8.6308356218124801E-4</v>
      </c>
    </row>
    <row r="833" spans="1:14" x14ac:dyDescent="0.25">
      <c r="A833" t="s">
        <v>905</v>
      </c>
      <c r="B833">
        <v>702</v>
      </c>
      <c r="C833">
        <v>238</v>
      </c>
      <c r="D833">
        <v>9</v>
      </c>
      <c r="E833" t="s">
        <v>14</v>
      </c>
      <c r="F833" t="s">
        <v>71</v>
      </c>
      <c r="G833" t="s">
        <v>57</v>
      </c>
      <c r="H833" s="1">
        <v>44268</v>
      </c>
      <c r="I833" t="s">
        <v>906</v>
      </c>
      <c r="J833" t="s">
        <v>18</v>
      </c>
      <c r="K833" t="s">
        <v>122</v>
      </c>
      <c r="L833" s="1">
        <v>44256</v>
      </c>
      <c r="M833">
        <v>0.33903133903133897</v>
      </c>
      <c r="N833">
        <v>7.0615927814829404E-4</v>
      </c>
    </row>
    <row r="834" spans="1:14" x14ac:dyDescent="0.25">
      <c r="A834" t="s">
        <v>907</v>
      </c>
      <c r="B834">
        <v>4037</v>
      </c>
      <c r="C834">
        <v>1494</v>
      </c>
      <c r="D834">
        <v>15</v>
      </c>
      <c r="E834" t="s">
        <v>40</v>
      </c>
      <c r="F834" t="s">
        <v>44</v>
      </c>
      <c r="G834" t="s">
        <v>36</v>
      </c>
      <c r="H834" s="1">
        <v>45017</v>
      </c>
      <c r="I834" t="s">
        <v>908</v>
      </c>
      <c r="J834" t="s">
        <v>38</v>
      </c>
      <c r="K834" t="s">
        <v>79</v>
      </c>
      <c r="L834" s="1">
        <v>45017</v>
      </c>
      <c r="M834">
        <v>0.37007678969531799</v>
      </c>
      <c r="N834">
        <v>1.17693213024716E-3</v>
      </c>
    </row>
    <row r="835" spans="1:14" x14ac:dyDescent="0.25">
      <c r="A835" t="s">
        <v>909</v>
      </c>
      <c r="B835">
        <v>5014</v>
      </c>
      <c r="C835">
        <v>2332</v>
      </c>
      <c r="D835">
        <v>2</v>
      </c>
      <c r="E835" t="s">
        <v>40</v>
      </c>
      <c r="F835" t="s">
        <v>44</v>
      </c>
      <c r="G835" t="s">
        <v>57</v>
      </c>
      <c r="H835" s="1">
        <v>44145</v>
      </c>
      <c r="I835" t="s">
        <v>910</v>
      </c>
      <c r="J835" t="s">
        <v>21</v>
      </c>
      <c r="K835" t="s">
        <v>22</v>
      </c>
      <c r="L835" s="1">
        <v>44136</v>
      </c>
      <c r="M835">
        <v>0.46509772636617502</v>
      </c>
      <c r="N835">
        <v>1.5692428403295399E-4</v>
      </c>
    </row>
    <row r="836" spans="1:14" x14ac:dyDescent="0.25">
      <c r="A836" t="s">
        <v>911</v>
      </c>
      <c r="B836">
        <v>9879</v>
      </c>
      <c r="C836">
        <v>4930</v>
      </c>
      <c r="D836">
        <v>15</v>
      </c>
      <c r="E836" t="s">
        <v>14</v>
      </c>
      <c r="F836" t="s">
        <v>35</v>
      </c>
      <c r="G836" t="s">
        <v>30</v>
      </c>
      <c r="H836" s="1">
        <v>45085</v>
      </c>
      <c r="I836" t="s">
        <v>912</v>
      </c>
      <c r="J836" t="s">
        <v>24</v>
      </c>
      <c r="K836" t="s">
        <v>60</v>
      </c>
      <c r="L836" s="1">
        <v>45078</v>
      </c>
      <c r="M836">
        <v>0.49903836420690401</v>
      </c>
      <c r="N836">
        <v>1.17693213024716E-3</v>
      </c>
    </row>
    <row r="837" spans="1:14" x14ac:dyDescent="0.25">
      <c r="A837" t="s">
        <v>913</v>
      </c>
      <c r="B837">
        <v>8762</v>
      </c>
      <c r="C837">
        <v>3502</v>
      </c>
      <c r="D837">
        <v>1</v>
      </c>
      <c r="E837" t="s">
        <v>14</v>
      </c>
      <c r="F837" t="s">
        <v>71</v>
      </c>
      <c r="G837" t="s">
        <v>30</v>
      </c>
      <c r="H837" s="1">
        <v>44425</v>
      </c>
      <c r="I837" t="s">
        <v>914</v>
      </c>
      <c r="J837" t="s">
        <v>18</v>
      </c>
      <c r="K837" t="s">
        <v>122</v>
      </c>
      <c r="L837" s="1">
        <v>44409</v>
      </c>
      <c r="M837">
        <v>0.399680438256106</v>
      </c>
      <c r="N837">
        <v>7.8462142016476997E-5</v>
      </c>
    </row>
    <row r="838" spans="1:14" x14ac:dyDescent="0.25">
      <c r="A838" t="s">
        <v>915</v>
      </c>
      <c r="B838">
        <v>8490</v>
      </c>
      <c r="C838">
        <v>800</v>
      </c>
      <c r="D838">
        <v>1</v>
      </c>
      <c r="E838" t="s">
        <v>28</v>
      </c>
      <c r="F838" t="s">
        <v>29</v>
      </c>
      <c r="G838" t="s">
        <v>36</v>
      </c>
      <c r="H838" s="1">
        <v>43975</v>
      </c>
      <c r="I838" t="s">
        <v>916</v>
      </c>
      <c r="J838" t="s">
        <v>24</v>
      </c>
      <c r="K838" t="s">
        <v>46</v>
      </c>
      <c r="L838" s="1">
        <v>43952</v>
      </c>
      <c r="M838">
        <v>9.42285041224971E-2</v>
      </c>
      <c r="N838">
        <v>7.8462142016476997E-5</v>
      </c>
    </row>
    <row r="839" spans="1:14" x14ac:dyDescent="0.25">
      <c r="A839" t="s">
        <v>917</v>
      </c>
      <c r="B839">
        <v>6951</v>
      </c>
      <c r="C839">
        <v>164</v>
      </c>
      <c r="D839">
        <v>10</v>
      </c>
      <c r="E839" t="s">
        <v>40</v>
      </c>
      <c r="F839" t="s">
        <v>52</v>
      </c>
      <c r="G839" t="s">
        <v>16</v>
      </c>
      <c r="H839" s="1">
        <v>44420</v>
      </c>
      <c r="I839" t="s">
        <v>918</v>
      </c>
      <c r="J839" t="s">
        <v>24</v>
      </c>
      <c r="K839" t="s">
        <v>25</v>
      </c>
      <c r="L839" s="1">
        <v>44409</v>
      </c>
      <c r="M839">
        <v>2.359372752122E-2</v>
      </c>
      <c r="N839">
        <v>7.8462142016477005E-4</v>
      </c>
    </row>
    <row r="840" spans="1:14" x14ac:dyDescent="0.25">
      <c r="A840" t="s">
        <v>919</v>
      </c>
      <c r="B840">
        <v>1078</v>
      </c>
      <c r="C840">
        <v>309</v>
      </c>
      <c r="D840">
        <v>3</v>
      </c>
      <c r="E840" t="s">
        <v>14</v>
      </c>
      <c r="F840" t="s">
        <v>71</v>
      </c>
      <c r="G840" t="s">
        <v>42</v>
      </c>
      <c r="H840" s="1">
        <v>44807</v>
      </c>
      <c r="I840" t="s">
        <v>920</v>
      </c>
      <c r="J840" t="s">
        <v>83</v>
      </c>
      <c r="K840" t="s">
        <v>98</v>
      </c>
      <c r="L840" s="1">
        <v>44805</v>
      </c>
      <c r="M840">
        <v>0.28664192949907202</v>
      </c>
      <c r="N840">
        <v>2.35386426049431E-4</v>
      </c>
    </row>
    <row r="841" spans="1:14" x14ac:dyDescent="0.25">
      <c r="A841" t="s">
        <v>919</v>
      </c>
      <c r="B841">
        <v>1078</v>
      </c>
      <c r="C841">
        <v>309</v>
      </c>
      <c r="D841">
        <v>3</v>
      </c>
      <c r="E841" t="s">
        <v>14</v>
      </c>
      <c r="F841" t="s">
        <v>71</v>
      </c>
      <c r="G841" t="s">
        <v>42</v>
      </c>
      <c r="H841" s="1">
        <v>44105</v>
      </c>
      <c r="I841" t="s">
        <v>921</v>
      </c>
      <c r="J841" t="s">
        <v>21</v>
      </c>
      <c r="K841" t="s">
        <v>22</v>
      </c>
      <c r="L841" s="1">
        <v>44105</v>
      </c>
      <c r="M841">
        <v>0.28664192949907202</v>
      </c>
      <c r="N841">
        <v>2.35386426049431E-4</v>
      </c>
    </row>
    <row r="842" spans="1:14" x14ac:dyDescent="0.25">
      <c r="A842" t="s">
        <v>922</v>
      </c>
      <c r="B842">
        <v>8560</v>
      </c>
      <c r="C842">
        <v>2166</v>
      </c>
      <c r="D842">
        <v>19</v>
      </c>
      <c r="E842" t="s">
        <v>28</v>
      </c>
      <c r="F842" t="s">
        <v>68</v>
      </c>
      <c r="G842" t="s">
        <v>36</v>
      </c>
      <c r="H842" s="1">
        <v>44708</v>
      </c>
      <c r="I842" t="s">
        <v>923</v>
      </c>
      <c r="J842" t="s">
        <v>18</v>
      </c>
      <c r="K842" t="s">
        <v>122</v>
      </c>
      <c r="L842" s="1">
        <v>44682</v>
      </c>
      <c r="M842">
        <v>0.25303738317757002</v>
      </c>
      <c r="N842">
        <v>1.4907806983130601E-3</v>
      </c>
    </row>
    <row r="843" spans="1:14" x14ac:dyDescent="0.25">
      <c r="A843" t="s">
        <v>922</v>
      </c>
      <c r="B843">
        <v>1031</v>
      </c>
      <c r="C843">
        <v>318</v>
      </c>
      <c r="D843">
        <v>20</v>
      </c>
      <c r="E843" t="s">
        <v>14</v>
      </c>
      <c r="F843" t="s">
        <v>15</v>
      </c>
      <c r="G843" t="s">
        <v>16</v>
      </c>
      <c r="H843" s="1">
        <v>44708</v>
      </c>
      <c r="I843" t="s">
        <v>923</v>
      </c>
      <c r="J843" t="s">
        <v>18</v>
      </c>
      <c r="K843" t="s">
        <v>122</v>
      </c>
      <c r="L843" s="1">
        <v>44682</v>
      </c>
      <c r="M843">
        <v>0.30843840931134803</v>
      </c>
      <c r="N843">
        <v>1.5692428403295401E-3</v>
      </c>
    </row>
    <row r="844" spans="1:14" x14ac:dyDescent="0.25">
      <c r="A844" t="s">
        <v>924</v>
      </c>
      <c r="B844">
        <v>6402</v>
      </c>
      <c r="C844">
        <v>2770</v>
      </c>
      <c r="D844">
        <v>19</v>
      </c>
      <c r="E844" t="s">
        <v>28</v>
      </c>
      <c r="F844" t="s">
        <v>50</v>
      </c>
      <c r="G844" t="s">
        <v>30</v>
      </c>
      <c r="H844" s="1">
        <v>45361</v>
      </c>
      <c r="I844" t="s">
        <v>925</v>
      </c>
      <c r="J844" t="s">
        <v>18</v>
      </c>
      <c r="K844" t="s">
        <v>32</v>
      </c>
      <c r="L844" s="1">
        <v>45352</v>
      </c>
      <c r="M844">
        <v>0.432677288347391</v>
      </c>
      <c r="N844">
        <v>1.4907806983130601E-3</v>
      </c>
    </row>
    <row r="845" spans="1:14" x14ac:dyDescent="0.25">
      <c r="A845" t="s">
        <v>924</v>
      </c>
      <c r="B845">
        <v>6402</v>
      </c>
      <c r="C845">
        <v>2770</v>
      </c>
      <c r="D845">
        <v>19</v>
      </c>
      <c r="E845" t="s">
        <v>28</v>
      </c>
      <c r="F845" t="s">
        <v>50</v>
      </c>
      <c r="G845" t="s">
        <v>30</v>
      </c>
      <c r="H845" s="1">
        <v>45204</v>
      </c>
      <c r="I845" t="s">
        <v>926</v>
      </c>
      <c r="J845" t="s">
        <v>18</v>
      </c>
      <c r="K845" t="s">
        <v>32</v>
      </c>
      <c r="L845" s="1">
        <v>45200</v>
      </c>
      <c r="M845">
        <v>0.432677288347391</v>
      </c>
      <c r="N845">
        <v>1.4907806983130601E-3</v>
      </c>
    </row>
    <row r="846" spans="1:14" x14ac:dyDescent="0.25">
      <c r="A846" t="s">
        <v>924</v>
      </c>
      <c r="B846">
        <v>5916</v>
      </c>
      <c r="C846">
        <v>1594</v>
      </c>
      <c r="D846">
        <v>19</v>
      </c>
      <c r="E846" t="s">
        <v>14</v>
      </c>
      <c r="F846" t="s">
        <v>26</v>
      </c>
      <c r="G846" t="s">
        <v>30</v>
      </c>
      <c r="H846" s="1">
        <v>45361</v>
      </c>
      <c r="I846" t="s">
        <v>925</v>
      </c>
      <c r="J846" t="s">
        <v>18</v>
      </c>
      <c r="K846" t="s">
        <v>32</v>
      </c>
      <c r="L846" s="1">
        <v>45352</v>
      </c>
      <c r="M846">
        <v>0.26943881000676101</v>
      </c>
      <c r="N846">
        <v>1.4907806983130601E-3</v>
      </c>
    </row>
    <row r="847" spans="1:14" x14ac:dyDescent="0.25">
      <c r="A847" t="s">
        <v>924</v>
      </c>
      <c r="B847">
        <v>5916</v>
      </c>
      <c r="C847">
        <v>1594</v>
      </c>
      <c r="D847">
        <v>19</v>
      </c>
      <c r="E847" t="s">
        <v>14</v>
      </c>
      <c r="F847" t="s">
        <v>26</v>
      </c>
      <c r="G847" t="s">
        <v>30</v>
      </c>
      <c r="H847" s="1">
        <v>45204</v>
      </c>
      <c r="I847" t="s">
        <v>926</v>
      </c>
      <c r="J847" t="s">
        <v>18</v>
      </c>
      <c r="K847" t="s">
        <v>32</v>
      </c>
      <c r="L847" s="1">
        <v>45200</v>
      </c>
      <c r="M847">
        <v>0.26943881000676101</v>
      </c>
      <c r="N847">
        <v>1.4907806983130601E-3</v>
      </c>
    </row>
    <row r="848" spans="1:14" x14ac:dyDescent="0.25">
      <c r="A848" t="s">
        <v>927</v>
      </c>
      <c r="B848">
        <v>4015</v>
      </c>
      <c r="C848">
        <v>1751</v>
      </c>
      <c r="D848">
        <v>15</v>
      </c>
      <c r="E848" t="s">
        <v>40</v>
      </c>
      <c r="F848" t="s">
        <v>44</v>
      </c>
      <c r="G848" t="s">
        <v>30</v>
      </c>
      <c r="H848" s="1">
        <v>44801</v>
      </c>
      <c r="I848" t="s">
        <v>928</v>
      </c>
      <c r="J848" t="s">
        <v>38</v>
      </c>
      <c r="K848" t="s">
        <v>79</v>
      </c>
      <c r="L848" s="1">
        <v>44774</v>
      </c>
      <c r="M848">
        <v>0.43611457036114598</v>
      </c>
      <c r="N848">
        <v>1.17693213024716E-3</v>
      </c>
    </row>
    <row r="849" spans="1:14" x14ac:dyDescent="0.25">
      <c r="A849" t="s">
        <v>927</v>
      </c>
      <c r="B849">
        <v>4015</v>
      </c>
      <c r="C849">
        <v>1751</v>
      </c>
      <c r="D849">
        <v>15</v>
      </c>
      <c r="E849" t="s">
        <v>40</v>
      </c>
      <c r="F849" t="s">
        <v>44</v>
      </c>
      <c r="G849" t="s">
        <v>30</v>
      </c>
      <c r="H849" s="1">
        <v>44082</v>
      </c>
      <c r="I849" t="s">
        <v>929</v>
      </c>
      <c r="J849" t="s">
        <v>24</v>
      </c>
      <c r="K849" t="s">
        <v>46</v>
      </c>
      <c r="L849" s="1">
        <v>44075</v>
      </c>
      <c r="M849">
        <v>0.43611457036114598</v>
      </c>
      <c r="N849">
        <v>1.17693213024716E-3</v>
      </c>
    </row>
    <row r="850" spans="1:14" x14ac:dyDescent="0.25">
      <c r="A850" t="s">
        <v>930</v>
      </c>
      <c r="B850">
        <v>9335</v>
      </c>
      <c r="C850">
        <v>557</v>
      </c>
      <c r="D850">
        <v>11</v>
      </c>
      <c r="E850" t="s">
        <v>14</v>
      </c>
      <c r="F850" t="s">
        <v>15</v>
      </c>
      <c r="G850" t="s">
        <v>57</v>
      </c>
      <c r="H850" s="1">
        <v>44313</v>
      </c>
      <c r="I850" t="s">
        <v>931</v>
      </c>
      <c r="J850" t="s">
        <v>38</v>
      </c>
      <c r="K850" t="s">
        <v>39</v>
      </c>
      <c r="L850" s="1">
        <v>44287</v>
      </c>
      <c r="M850">
        <v>5.9667916443492203E-2</v>
      </c>
      <c r="N850">
        <v>8.6308356218124801E-4</v>
      </c>
    </row>
    <row r="851" spans="1:14" x14ac:dyDescent="0.25">
      <c r="A851" t="s">
        <v>932</v>
      </c>
      <c r="B851">
        <v>4706</v>
      </c>
      <c r="C851">
        <v>594</v>
      </c>
      <c r="D851">
        <v>11</v>
      </c>
      <c r="E851" t="s">
        <v>28</v>
      </c>
      <c r="F851" t="s">
        <v>68</v>
      </c>
      <c r="G851" t="s">
        <v>57</v>
      </c>
      <c r="H851" s="1">
        <v>44429</v>
      </c>
      <c r="I851" t="s">
        <v>933</v>
      </c>
      <c r="J851" t="s">
        <v>83</v>
      </c>
      <c r="K851" t="s">
        <v>98</v>
      </c>
      <c r="L851" s="1">
        <v>44409</v>
      </c>
      <c r="M851">
        <v>0.12622184445388901</v>
      </c>
      <c r="N851">
        <v>8.6308356218124801E-4</v>
      </c>
    </row>
    <row r="852" spans="1:14" x14ac:dyDescent="0.25">
      <c r="A852" t="s">
        <v>932</v>
      </c>
      <c r="B852">
        <v>4706</v>
      </c>
      <c r="C852">
        <v>594</v>
      </c>
      <c r="D852">
        <v>11</v>
      </c>
      <c r="E852" t="s">
        <v>28</v>
      </c>
      <c r="F852" t="s">
        <v>68</v>
      </c>
      <c r="G852" t="s">
        <v>57</v>
      </c>
      <c r="H852" s="1">
        <v>44332</v>
      </c>
      <c r="I852" t="s">
        <v>934</v>
      </c>
      <c r="J852" t="s">
        <v>83</v>
      </c>
      <c r="K852" t="s">
        <v>84</v>
      </c>
      <c r="L852" s="1">
        <v>44317</v>
      </c>
      <c r="M852">
        <v>0.12622184445388901</v>
      </c>
      <c r="N852">
        <v>8.6308356218124801E-4</v>
      </c>
    </row>
    <row r="853" spans="1:14" x14ac:dyDescent="0.25">
      <c r="A853" t="s">
        <v>932</v>
      </c>
      <c r="B853">
        <v>6584</v>
      </c>
      <c r="C853">
        <v>371</v>
      </c>
      <c r="D853">
        <v>6</v>
      </c>
      <c r="E853" t="s">
        <v>28</v>
      </c>
      <c r="F853" t="s">
        <v>50</v>
      </c>
      <c r="G853" t="s">
        <v>16</v>
      </c>
      <c r="H853" s="1">
        <v>44429</v>
      </c>
      <c r="I853" t="s">
        <v>933</v>
      </c>
      <c r="J853" t="s">
        <v>83</v>
      </c>
      <c r="K853" t="s">
        <v>98</v>
      </c>
      <c r="L853" s="1">
        <v>44409</v>
      </c>
      <c r="M853">
        <v>5.6348724179829897E-2</v>
      </c>
      <c r="N853">
        <v>4.7077285209886201E-4</v>
      </c>
    </row>
    <row r="854" spans="1:14" x14ac:dyDescent="0.25">
      <c r="A854" t="s">
        <v>932</v>
      </c>
      <c r="B854">
        <v>6584</v>
      </c>
      <c r="C854">
        <v>371</v>
      </c>
      <c r="D854">
        <v>6</v>
      </c>
      <c r="E854" t="s">
        <v>28</v>
      </c>
      <c r="F854" t="s">
        <v>50</v>
      </c>
      <c r="G854" t="s">
        <v>16</v>
      </c>
      <c r="H854" s="1">
        <v>44332</v>
      </c>
      <c r="I854" t="s">
        <v>934</v>
      </c>
      <c r="J854" t="s">
        <v>83</v>
      </c>
      <c r="K854" t="s">
        <v>84</v>
      </c>
      <c r="L854" s="1">
        <v>44317</v>
      </c>
      <c r="M854">
        <v>5.6348724179829897E-2</v>
      </c>
      <c r="N854">
        <v>4.7077285209886201E-4</v>
      </c>
    </row>
    <row r="855" spans="1:14" x14ac:dyDescent="0.25">
      <c r="A855" t="s">
        <v>935</v>
      </c>
      <c r="B855">
        <v>6389</v>
      </c>
      <c r="C855">
        <v>734</v>
      </c>
      <c r="D855">
        <v>1</v>
      </c>
      <c r="E855" t="s">
        <v>40</v>
      </c>
      <c r="F855" t="s">
        <v>52</v>
      </c>
      <c r="G855" t="s">
        <v>36</v>
      </c>
      <c r="H855" s="1">
        <v>44576</v>
      </c>
      <c r="I855" t="s">
        <v>936</v>
      </c>
      <c r="J855" t="s">
        <v>63</v>
      </c>
      <c r="K855" t="s">
        <v>64</v>
      </c>
      <c r="L855" s="1">
        <v>44562</v>
      </c>
      <c r="M855">
        <v>0.11488495852246</v>
      </c>
      <c r="N855">
        <v>7.8462142016476997E-5</v>
      </c>
    </row>
    <row r="856" spans="1:14" x14ac:dyDescent="0.25">
      <c r="A856" t="s">
        <v>937</v>
      </c>
      <c r="B856">
        <v>9869</v>
      </c>
      <c r="C856">
        <v>4299</v>
      </c>
      <c r="D856">
        <v>12</v>
      </c>
      <c r="E856" t="s">
        <v>14</v>
      </c>
      <c r="F856" t="s">
        <v>26</v>
      </c>
      <c r="G856" t="s">
        <v>30</v>
      </c>
      <c r="H856" s="1">
        <v>45006</v>
      </c>
      <c r="I856" t="s">
        <v>938</v>
      </c>
      <c r="J856" t="s">
        <v>38</v>
      </c>
      <c r="K856" t="s">
        <v>66</v>
      </c>
      <c r="L856" s="1">
        <v>44986</v>
      </c>
      <c r="M856">
        <v>0.43560644442192697</v>
      </c>
      <c r="N856">
        <v>9.4154570419772402E-4</v>
      </c>
    </row>
    <row r="857" spans="1:14" x14ac:dyDescent="0.25">
      <c r="A857" t="s">
        <v>937</v>
      </c>
      <c r="B857">
        <v>9869</v>
      </c>
      <c r="C857">
        <v>4299</v>
      </c>
      <c r="D857">
        <v>12</v>
      </c>
      <c r="E857" t="s">
        <v>14</v>
      </c>
      <c r="F857" t="s">
        <v>26</v>
      </c>
      <c r="G857" t="s">
        <v>30</v>
      </c>
      <c r="H857" s="1">
        <v>45288</v>
      </c>
      <c r="I857" t="s">
        <v>939</v>
      </c>
      <c r="J857" t="s">
        <v>24</v>
      </c>
      <c r="K857" t="s">
        <v>25</v>
      </c>
      <c r="L857" s="1">
        <v>45261</v>
      </c>
      <c r="M857">
        <v>0.43560644442192697</v>
      </c>
      <c r="N857">
        <v>9.4154570419772402E-4</v>
      </c>
    </row>
    <row r="858" spans="1:14" x14ac:dyDescent="0.25">
      <c r="A858" t="s">
        <v>940</v>
      </c>
      <c r="B858">
        <v>655</v>
      </c>
      <c r="C858">
        <v>297</v>
      </c>
      <c r="D858">
        <v>4</v>
      </c>
      <c r="E858" t="s">
        <v>28</v>
      </c>
      <c r="F858" t="s">
        <v>50</v>
      </c>
      <c r="G858" t="s">
        <v>30</v>
      </c>
      <c r="H858" s="1">
        <v>44607</v>
      </c>
      <c r="I858" t="s">
        <v>941</v>
      </c>
      <c r="J858" t="s">
        <v>24</v>
      </c>
      <c r="K858" t="s">
        <v>25</v>
      </c>
      <c r="L858" s="1">
        <v>44593</v>
      </c>
      <c r="M858">
        <v>0.45343511450381702</v>
      </c>
      <c r="N858">
        <v>3.1384856806590799E-4</v>
      </c>
    </row>
    <row r="859" spans="1:14" x14ac:dyDescent="0.25">
      <c r="A859" t="s">
        <v>940</v>
      </c>
      <c r="B859">
        <v>655</v>
      </c>
      <c r="C859">
        <v>297</v>
      </c>
      <c r="D859">
        <v>4</v>
      </c>
      <c r="E859" t="s">
        <v>28</v>
      </c>
      <c r="F859" t="s">
        <v>50</v>
      </c>
      <c r="G859" t="s">
        <v>30</v>
      </c>
      <c r="H859" s="1">
        <v>45260</v>
      </c>
      <c r="I859" t="s">
        <v>942</v>
      </c>
      <c r="J859" t="s">
        <v>18</v>
      </c>
      <c r="K859" t="s">
        <v>32</v>
      </c>
      <c r="L859" s="1">
        <v>45231</v>
      </c>
      <c r="M859">
        <v>0.45343511450381702</v>
      </c>
      <c r="N859">
        <v>3.1384856806590799E-4</v>
      </c>
    </row>
    <row r="860" spans="1:14" x14ac:dyDescent="0.25">
      <c r="A860" t="s">
        <v>943</v>
      </c>
      <c r="B860">
        <v>798</v>
      </c>
      <c r="C860">
        <v>308</v>
      </c>
      <c r="D860">
        <v>10</v>
      </c>
      <c r="E860" t="s">
        <v>14</v>
      </c>
      <c r="F860" t="s">
        <v>71</v>
      </c>
      <c r="G860" t="s">
        <v>30</v>
      </c>
      <c r="H860" s="1">
        <v>44938</v>
      </c>
      <c r="I860" t="s">
        <v>944</v>
      </c>
      <c r="J860" t="s">
        <v>24</v>
      </c>
      <c r="K860" t="s">
        <v>25</v>
      </c>
      <c r="L860" s="1">
        <v>44927</v>
      </c>
      <c r="M860">
        <v>0.38596491228070201</v>
      </c>
      <c r="N860">
        <v>7.8462142016477005E-4</v>
      </c>
    </row>
    <row r="861" spans="1:14" x14ac:dyDescent="0.25">
      <c r="A861" t="s">
        <v>943</v>
      </c>
      <c r="B861">
        <v>798</v>
      </c>
      <c r="C861">
        <v>308</v>
      </c>
      <c r="D861">
        <v>10</v>
      </c>
      <c r="E861" t="s">
        <v>14</v>
      </c>
      <c r="F861" t="s">
        <v>71</v>
      </c>
      <c r="G861" t="s">
        <v>30</v>
      </c>
      <c r="H861" s="1">
        <v>45065</v>
      </c>
      <c r="I861" t="s">
        <v>945</v>
      </c>
      <c r="J861" t="s">
        <v>83</v>
      </c>
      <c r="K861" t="s">
        <v>98</v>
      </c>
      <c r="L861" s="1">
        <v>45047</v>
      </c>
      <c r="M861">
        <v>0.38596491228070201</v>
      </c>
      <c r="N861">
        <v>7.8462142016477005E-4</v>
      </c>
    </row>
    <row r="862" spans="1:14" x14ac:dyDescent="0.25">
      <c r="A862" t="s">
        <v>943</v>
      </c>
      <c r="B862">
        <v>7967</v>
      </c>
      <c r="C862">
        <v>2504</v>
      </c>
      <c r="D862">
        <v>13</v>
      </c>
      <c r="E862" t="s">
        <v>14</v>
      </c>
      <c r="F862" t="s">
        <v>26</v>
      </c>
      <c r="G862" t="s">
        <v>36</v>
      </c>
      <c r="H862" s="1">
        <v>44938</v>
      </c>
      <c r="I862" t="s">
        <v>944</v>
      </c>
      <c r="J862" t="s">
        <v>24</v>
      </c>
      <c r="K862" t="s">
        <v>25</v>
      </c>
      <c r="L862" s="1">
        <v>44927</v>
      </c>
      <c r="M862">
        <v>0.314296472950923</v>
      </c>
      <c r="N862">
        <v>1.0200078462141999E-3</v>
      </c>
    </row>
    <row r="863" spans="1:14" x14ac:dyDescent="0.25">
      <c r="A863" t="s">
        <v>943</v>
      </c>
      <c r="B863">
        <v>7967</v>
      </c>
      <c r="C863">
        <v>2504</v>
      </c>
      <c r="D863">
        <v>13</v>
      </c>
      <c r="E863" t="s">
        <v>14</v>
      </c>
      <c r="F863" t="s">
        <v>26</v>
      </c>
      <c r="G863" t="s">
        <v>36</v>
      </c>
      <c r="H863" s="1">
        <v>45065</v>
      </c>
      <c r="I863" t="s">
        <v>945</v>
      </c>
      <c r="J863" t="s">
        <v>83</v>
      </c>
      <c r="K863" t="s">
        <v>98</v>
      </c>
      <c r="L863" s="1">
        <v>45047</v>
      </c>
      <c r="M863">
        <v>0.314296472950923</v>
      </c>
      <c r="N863">
        <v>1.0200078462141999E-3</v>
      </c>
    </row>
    <row r="864" spans="1:14" x14ac:dyDescent="0.25">
      <c r="A864" t="s">
        <v>946</v>
      </c>
      <c r="B864">
        <v>3756</v>
      </c>
      <c r="C864">
        <v>1318</v>
      </c>
      <c r="D864">
        <v>5</v>
      </c>
      <c r="E864" t="s">
        <v>40</v>
      </c>
      <c r="F864" t="s">
        <v>41</v>
      </c>
      <c r="G864" t="s">
        <v>16</v>
      </c>
      <c r="H864" s="1">
        <v>45341</v>
      </c>
      <c r="I864" t="s">
        <v>947</v>
      </c>
      <c r="J864" t="s">
        <v>18</v>
      </c>
      <c r="K864" t="s">
        <v>19</v>
      </c>
      <c r="L864" s="1">
        <v>45323</v>
      </c>
      <c r="M864">
        <v>0.35090521831735899</v>
      </c>
      <c r="N864">
        <v>3.9231071008238503E-4</v>
      </c>
    </row>
    <row r="865" spans="1:14" x14ac:dyDescent="0.25">
      <c r="A865" t="s">
        <v>948</v>
      </c>
      <c r="B865">
        <v>5196</v>
      </c>
      <c r="C865">
        <v>2477</v>
      </c>
      <c r="D865">
        <v>1</v>
      </c>
      <c r="E865" t="s">
        <v>28</v>
      </c>
      <c r="F865" t="s">
        <v>50</v>
      </c>
      <c r="G865" t="s">
        <v>16</v>
      </c>
      <c r="H865" s="1">
        <v>44531</v>
      </c>
      <c r="I865" t="s">
        <v>949</v>
      </c>
      <c r="J865" t="s">
        <v>63</v>
      </c>
      <c r="K865" t="s">
        <v>75</v>
      </c>
      <c r="L865" s="1">
        <v>44531</v>
      </c>
      <c r="M865">
        <v>0.47671285604310998</v>
      </c>
      <c r="N865">
        <v>7.8462142016476997E-5</v>
      </c>
    </row>
    <row r="866" spans="1:14" x14ac:dyDescent="0.25">
      <c r="A866" t="s">
        <v>948</v>
      </c>
      <c r="B866">
        <v>6586</v>
      </c>
      <c r="C866">
        <v>1794</v>
      </c>
      <c r="D866">
        <v>19</v>
      </c>
      <c r="E866" t="s">
        <v>40</v>
      </c>
      <c r="F866" t="s">
        <v>91</v>
      </c>
      <c r="G866" t="s">
        <v>30</v>
      </c>
      <c r="H866" s="1">
        <v>44531</v>
      </c>
      <c r="I866" t="s">
        <v>949</v>
      </c>
      <c r="J866" t="s">
        <v>63</v>
      </c>
      <c r="K866" t="s">
        <v>75</v>
      </c>
      <c r="L866" s="1">
        <v>44531</v>
      </c>
      <c r="M866">
        <v>0.27239599149711502</v>
      </c>
      <c r="N866">
        <v>1.4907806983130601E-3</v>
      </c>
    </row>
    <row r="867" spans="1:14" x14ac:dyDescent="0.25">
      <c r="A867" t="s">
        <v>950</v>
      </c>
      <c r="B867">
        <v>6673</v>
      </c>
      <c r="C867">
        <v>950</v>
      </c>
      <c r="D867">
        <v>19</v>
      </c>
      <c r="E867" t="s">
        <v>28</v>
      </c>
      <c r="F867" t="s">
        <v>50</v>
      </c>
      <c r="G867" t="s">
        <v>36</v>
      </c>
      <c r="H867" s="1">
        <v>45645</v>
      </c>
      <c r="I867" t="s">
        <v>951</v>
      </c>
      <c r="J867" t="s">
        <v>24</v>
      </c>
      <c r="K867" t="s">
        <v>25</v>
      </c>
      <c r="L867" s="1">
        <v>45627</v>
      </c>
      <c r="M867">
        <v>0.14236475348419</v>
      </c>
      <c r="N867">
        <v>1.4907806983130601E-3</v>
      </c>
    </row>
    <row r="868" spans="1:14" x14ac:dyDescent="0.25">
      <c r="A868" t="s">
        <v>952</v>
      </c>
      <c r="B868">
        <v>714</v>
      </c>
      <c r="C868">
        <v>232</v>
      </c>
      <c r="D868">
        <v>14</v>
      </c>
      <c r="E868" t="s">
        <v>40</v>
      </c>
      <c r="F868" t="s">
        <v>41</v>
      </c>
      <c r="G868" t="s">
        <v>16</v>
      </c>
      <c r="H868" s="1">
        <v>44944</v>
      </c>
      <c r="I868" t="s">
        <v>953</v>
      </c>
      <c r="J868" t="s">
        <v>83</v>
      </c>
      <c r="K868" t="s">
        <v>84</v>
      </c>
      <c r="L868" s="1">
        <v>44927</v>
      </c>
      <c r="M868">
        <v>0.32492997198879597</v>
      </c>
      <c r="N868">
        <v>1.0984699882306799E-3</v>
      </c>
    </row>
    <row r="869" spans="1:14" x14ac:dyDescent="0.25">
      <c r="A869" t="s">
        <v>952</v>
      </c>
      <c r="B869">
        <v>714</v>
      </c>
      <c r="C869">
        <v>232</v>
      </c>
      <c r="D869">
        <v>14</v>
      </c>
      <c r="E869" t="s">
        <v>40</v>
      </c>
      <c r="F869" t="s">
        <v>41</v>
      </c>
      <c r="G869" t="s">
        <v>16</v>
      </c>
      <c r="H869" s="1">
        <v>44188</v>
      </c>
      <c r="I869" t="s">
        <v>954</v>
      </c>
      <c r="J869" t="s">
        <v>63</v>
      </c>
      <c r="K869" t="s">
        <v>75</v>
      </c>
      <c r="L869" s="1">
        <v>44166</v>
      </c>
      <c r="M869">
        <v>0.32492997198879597</v>
      </c>
      <c r="N869">
        <v>1.0984699882306799E-3</v>
      </c>
    </row>
    <row r="870" spans="1:14" x14ac:dyDescent="0.25">
      <c r="A870" t="s">
        <v>955</v>
      </c>
      <c r="B870">
        <v>1083</v>
      </c>
      <c r="C870">
        <v>501</v>
      </c>
      <c r="D870">
        <v>6</v>
      </c>
      <c r="E870" t="s">
        <v>28</v>
      </c>
      <c r="F870" t="s">
        <v>29</v>
      </c>
      <c r="G870" t="s">
        <v>57</v>
      </c>
      <c r="H870" s="1">
        <v>44255</v>
      </c>
      <c r="I870" t="s">
        <v>956</v>
      </c>
      <c r="J870" t="s">
        <v>63</v>
      </c>
      <c r="K870" t="s">
        <v>75</v>
      </c>
      <c r="L870" s="1">
        <v>44228</v>
      </c>
      <c r="M870">
        <v>0.46260387811634401</v>
      </c>
      <c r="N870">
        <v>4.7077285209886201E-4</v>
      </c>
    </row>
    <row r="871" spans="1:14" x14ac:dyDescent="0.25">
      <c r="A871" t="s">
        <v>957</v>
      </c>
      <c r="B871">
        <v>2401</v>
      </c>
      <c r="C871">
        <v>1163</v>
      </c>
      <c r="D871">
        <v>10</v>
      </c>
      <c r="E871" t="s">
        <v>40</v>
      </c>
      <c r="F871" t="s">
        <v>91</v>
      </c>
      <c r="G871" t="s">
        <v>16</v>
      </c>
      <c r="H871" s="1">
        <v>45050</v>
      </c>
      <c r="I871" t="s">
        <v>958</v>
      </c>
      <c r="J871" t="s">
        <v>83</v>
      </c>
      <c r="K871" t="s">
        <v>98</v>
      </c>
      <c r="L871" s="1">
        <v>45047</v>
      </c>
      <c r="M871">
        <v>0.484381507705123</v>
      </c>
      <c r="N871">
        <v>7.8462142016477005E-4</v>
      </c>
    </row>
    <row r="872" spans="1:14" x14ac:dyDescent="0.25">
      <c r="A872" t="s">
        <v>957</v>
      </c>
      <c r="B872">
        <v>2401</v>
      </c>
      <c r="C872">
        <v>1163</v>
      </c>
      <c r="D872">
        <v>10</v>
      </c>
      <c r="E872" t="s">
        <v>40</v>
      </c>
      <c r="F872" t="s">
        <v>91</v>
      </c>
      <c r="G872" t="s">
        <v>16</v>
      </c>
      <c r="H872" s="1">
        <v>43943</v>
      </c>
      <c r="I872" t="s">
        <v>959</v>
      </c>
      <c r="J872" t="s">
        <v>38</v>
      </c>
      <c r="K872" t="s">
        <v>39</v>
      </c>
      <c r="L872" s="1">
        <v>43922</v>
      </c>
      <c r="M872">
        <v>0.484381507705123</v>
      </c>
      <c r="N872">
        <v>7.8462142016477005E-4</v>
      </c>
    </row>
    <row r="873" spans="1:14" x14ac:dyDescent="0.25">
      <c r="A873" t="s">
        <v>957</v>
      </c>
      <c r="B873">
        <v>2401</v>
      </c>
      <c r="C873">
        <v>1163</v>
      </c>
      <c r="D873">
        <v>10</v>
      </c>
      <c r="E873" t="s">
        <v>40</v>
      </c>
      <c r="F873" t="s">
        <v>91</v>
      </c>
      <c r="G873" t="s">
        <v>16</v>
      </c>
      <c r="H873" s="1">
        <v>44421</v>
      </c>
      <c r="I873" t="s">
        <v>960</v>
      </c>
      <c r="J873" t="s">
        <v>24</v>
      </c>
      <c r="K873" t="s">
        <v>60</v>
      </c>
      <c r="L873" s="1">
        <v>44409</v>
      </c>
      <c r="M873">
        <v>0.484381507705123</v>
      </c>
      <c r="N873">
        <v>7.8462142016477005E-4</v>
      </c>
    </row>
    <row r="874" spans="1:14" x14ac:dyDescent="0.25">
      <c r="A874" t="s">
        <v>957</v>
      </c>
      <c r="B874">
        <v>1045</v>
      </c>
      <c r="C874">
        <v>267</v>
      </c>
      <c r="D874">
        <v>11</v>
      </c>
      <c r="E874" t="s">
        <v>14</v>
      </c>
      <c r="F874" t="s">
        <v>71</v>
      </c>
      <c r="G874" t="s">
        <v>30</v>
      </c>
      <c r="H874" s="1">
        <v>45050</v>
      </c>
      <c r="I874" t="s">
        <v>958</v>
      </c>
      <c r="J874" t="s">
        <v>83</v>
      </c>
      <c r="K874" t="s">
        <v>98</v>
      </c>
      <c r="L874" s="1">
        <v>45047</v>
      </c>
      <c r="M874">
        <v>0.25550239234449801</v>
      </c>
      <c r="N874">
        <v>8.6308356218124801E-4</v>
      </c>
    </row>
    <row r="875" spans="1:14" x14ac:dyDescent="0.25">
      <c r="A875" t="s">
        <v>957</v>
      </c>
      <c r="B875">
        <v>1045</v>
      </c>
      <c r="C875">
        <v>267</v>
      </c>
      <c r="D875">
        <v>11</v>
      </c>
      <c r="E875" t="s">
        <v>14</v>
      </c>
      <c r="F875" t="s">
        <v>71</v>
      </c>
      <c r="G875" t="s">
        <v>30</v>
      </c>
      <c r="H875" s="1">
        <v>43943</v>
      </c>
      <c r="I875" t="s">
        <v>959</v>
      </c>
      <c r="J875" t="s">
        <v>38</v>
      </c>
      <c r="K875" t="s">
        <v>39</v>
      </c>
      <c r="L875" s="1">
        <v>43922</v>
      </c>
      <c r="M875">
        <v>0.25550239234449801</v>
      </c>
      <c r="N875">
        <v>8.6308356218124801E-4</v>
      </c>
    </row>
    <row r="876" spans="1:14" x14ac:dyDescent="0.25">
      <c r="A876" t="s">
        <v>957</v>
      </c>
      <c r="B876">
        <v>1045</v>
      </c>
      <c r="C876">
        <v>267</v>
      </c>
      <c r="D876">
        <v>11</v>
      </c>
      <c r="E876" t="s">
        <v>14</v>
      </c>
      <c r="F876" t="s">
        <v>71</v>
      </c>
      <c r="G876" t="s">
        <v>30</v>
      </c>
      <c r="H876" s="1">
        <v>44421</v>
      </c>
      <c r="I876" t="s">
        <v>960</v>
      </c>
      <c r="J876" t="s">
        <v>24</v>
      </c>
      <c r="K876" t="s">
        <v>60</v>
      </c>
      <c r="L876" s="1">
        <v>44409</v>
      </c>
      <c r="M876">
        <v>0.25550239234449801</v>
      </c>
      <c r="N876">
        <v>8.6308356218124801E-4</v>
      </c>
    </row>
    <row r="877" spans="1:14" x14ac:dyDescent="0.25">
      <c r="A877" t="s">
        <v>961</v>
      </c>
      <c r="B877">
        <v>7806</v>
      </c>
      <c r="C877">
        <v>1127</v>
      </c>
      <c r="D877">
        <v>1</v>
      </c>
      <c r="E877" t="s">
        <v>28</v>
      </c>
      <c r="F877" t="s">
        <v>50</v>
      </c>
      <c r="G877" t="s">
        <v>42</v>
      </c>
      <c r="H877" s="1">
        <v>45127</v>
      </c>
      <c r="I877" t="s">
        <v>962</v>
      </c>
      <c r="J877" t="s">
        <v>63</v>
      </c>
      <c r="K877" t="s">
        <v>64</v>
      </c>
      <c r="L877" s="1">
        <v>45108</v>
      </c>
      <c r="M877">
        <v>0.14437612093261601</v>
      </c>
      <c r="N877">
        <v>7.8462142016476997E-5</v>
      </c>
    </row>
    <row r="878" spans="1:14" x14ac:dyDescent="0.25">
      <c r="A878" t="s">
        <v>963</v>
      </c>
      <c r="B878">
        <v>5263</v>
      </c>
      <c r="C878">
        <v>1743</v>
      </c>
      <c r="D878">
        <v>19</v>
      </c>
      <c r="E878" t="s">
        <v>40</v>
      </c>
      <c r="F878" t="s">
        <v>52</v>
      </c>
      <c r="G878" t="s">
        <v>42</v>
      </c>
      <c r="H878" s="1">
        <v>44801</v>
      </c>
      <c r="I878" t="s">
        <v>964</v>
      </c>
      <c r="J878" t="s">
        <v>18</v>
      </c>
      <c r="K878" t="s">
        <v>19</v>
      </c>
      <c r="L878" s="1">
        <v>44774</v>
      </c>
      <c r="M878">
        <v>0.33117993539806201</v>
      </c>
      <c r="N878">
        <v>1.4907806983130601E-3</v>
      </c>
    </row>
    <row r="879" spans="1:14" x14ac:dyDescent="0.25">
      <c r="A879" t="s">
        <v>965</v>
      </c>
      <c r="B879">
        <v>6147</v>
      </c>
      <c r="C879">
        <v>2526</v>
      </c>
      <c r="D879">
        <v>6</v>
      </c>
      <c r="E879" t="s">
        <v>28</v>
      </c>
      <c r="F879" t="s">
        <v>29</v>
      </c>
      <c r="G879" t="s">
        <v>30</v>
      </c>
      <c r="H879" s="1">
        <v>44999</v>
      </c>
      <c r="I879" t="s">
        <v>966</v>
      </c>
      <c r="J879" t="s">
        <v>63</v>
      </c>
      <c r="K879" t="s">
        <v>64</v>
      </c>
      <c r="L879" s="1">
        <v>44986</v>
      </c>
      <c r="M879">
        <v>0.41093216203025901</v>
      </c>
      <c r="N879">
        <v>4.7077285209886201E-4</v>
      </c>
    </row>
    <row r="880" spans="1:14" x14ac:dyDescent="0.25">
      <c r="A880" t="s">
        <v>967</v>
      </c>
      <c r="B880">
        <v>7484</v>
      </c>
      <c r="C880">
        <v>2871</v>
      </c>
      <c r="D880">
        <v>15</v>
      </c>
      <c r="E880" t="s">
        <v>14</v>
      </c>
      <c r="F880" t="s">
        <v>71</v>
      </c>
      <c r="G880" t="s">
        <v>16</v>
      </c>
      <c r="H880" s="1">
        <v>45237</v>
      </c>
      <c r="I880" t="s">
        <v>968</v>
      </c>
      <c r="J880" t="s">
        <v>18</v>
      </c>
      <c r="K880" t="s">
        <v>32</v>
      </c>
      <c r="L880" s="1">
        <v>45231</v>
      </c>
      <c r="M880">
        <v>0.38361838588989799</v>
      </c>
      <c r="N880">
        <v>1.17693213024716E-3</v>
      </c>
    </row>
    <row r="881" spans="1:14" x14ac:dyDescent="0.25">
      <c r="A881" t="s">
        <v>967</v>
      </c>
      <c r="B881">
        <v>7484</v>
      </c>
      <c r="C881">
        <v>2871</v>
      </c>
      <c r="D881">
        <v>15</v>
      </c>
      <c r="E881" t="s">
        <v>14</v>
      </c>
      <c r="F881" t="s">
        <v>71</v>
      </c>
      <c r="G881" t="s">
        <v>16</v>
      </c>
      <c r="H881" s="1">
        <v>45398</v>
      </c>
      <c r="I881" t="s">
        <v>969</v>
      </c>
      <c r="J881" t="s">
        <v>21</v>
      </c>
      <c r="K881" t="s">
        <v>22</v>
      </c>
      <c r="L881" s="1">
        <v>45383</v>
      </c>
      <c r="M881">
        <v>0.38361838588989799</v>
      </c>
      <c r="N881">
        <v>1.17693213024716E-3</v>
      </c>
    </row>
    <row r="882" spans="1:14" x14ac:dyDescent="0.25">
      <c r="A882" t="s">
        <v>967</v>
      </c>
      <c r="B882">
        <v>7700</v>
      </c>
      <c r="C882">
        <v>2712</v>
      </c>
      <c r="D882">
        <v>1</v>
      </c>
      <c r="E882" t="s">
        <v>40</v>
      </c>
      <c r="F882" t="s">
        <v>52</v>
      </c>
      <c r="G882" t="s">
        <v>42</v>
      </c>
      <c r="H882" s="1">
        <v>45237</v>
      </c>
      <c r="I882" t="s">
        <v>968</v>
      </c>
      <c r="J882" t="s">
        <v>18</v>
      </c>
      <c r="K882" t="s">
        <v>32</v>
      </c>
      <c r="L882" s="1">
        <v>45231</v>
      </c>
      <c r="M882">
        <v>0.35220779220779203</v>
      </c>
      <c r="N882">
        <v>7.8462142016476997E-5</v>
      </c>
    </row>
    <row r="883" spans="1:14" x14ac:dyDescent="0.25">
      <c r="A883" t="s">
        <v>967</v>
      </c>
      <c r="B883">
        <v>7700</v>
      </c>
      <c r="C883">
        <v>2712</v>
      </c>
      <c r="D883">
        <v>1</v>
      </c>
      <c r="E883" t="s">
        <v>40</v>
      </c>
      <c r="F883" t="s">
        <v>52</v>
      </c>
      <c r="G883" t="s">
        <v>42</v>
      </c>
      <c r="H883" s="1">
        <v>45398</v>
      </c>
      <c r="I883" t="s">
        <v>969</v>
      </c>
      <c r="J883" t="s">
        <v>21</v>
      </c>
      <c r="K883" t="s">
        <v>22</v>
      </c>
      <c r="L883" s="1">
        <v>45383</v>
      </c>
      <c r="M883">
        <v>0.35220779220779203</v>
      </c>
      <c r="N883">
        <v>7.8462142016476997E-5</v>
      </c>
    </row>
    <row r="884" spans="1:14" x14ac:dyDescent="0.25">
      <c r="A884" t="s">
        <v>970</v>
      </c>
      <c r="B884">
        <v>8537</v>
      </c>
      <c r="C884">
        <v>3586</v>
      </c>
      <c r="D884">
        <v>13</v>
      </c>
      <c r="E884" t="s">
        <v>28</v>
      </c>
      <c r="F884" t="s">
        <v>50</v>
      </c>
      <c r="G884" t="s">
        <v>16</v>
      </c>
      <c r="H884" s="1">
        <v>44820</v>
      </c>
      <c r="I884" t="s">
        <v>971</v>
      </c>
      <c r="J884" t="s">
        <v>24</v>
      </c>
      <c r="K884" t="s">
        <v>60</v>
      </c>
      <c r="L884" s="1">
        <v>44805</v>
      </c>
      <c r="M884">
        <v>0.42005388309710701</v>
      </c>
      <c r="N884">
        <v>1.0200078462141999E-3</v>
      </c>
    </row>
    <row r="885" spans="1:14" x14ac:dyDescent="0.25">
      <c r="A885" t="s">
        <v>972</v>
      </c>
      <c r="B885">
        <v>8858</v>
      </c>
      <c r="C885">
        <v>3394</v>
      </c>
      <c r="D885">
        <v>6</v>
      </c>
      <c r="E885" t="s">
        <v>40</v>
      </c>
      <c r="F885" t="s">
        <v>44</v>
      </c>
      <c r="G885" t="s">
        <v>57</v>
      </c>
      <c r="H885" s="1">
        <v>45596</v>
      </c>
      <c r="I885" t="s">
        <v>973</v>
      </c>
      <c r="J885" t="s">
        <v>38</v>
      </c>
      <c r="K885" t="s">
        <v>66</v>
      </c>
      <c r="L885" s="1">
        <v>45566</v>
      </c>
      <c r="M885">
        <v>0.38315646872883302</v>
      </c>
      <c r="N885">
        <v>4.7077285209886201E-4</v>
      </c>
    </row>
    <row r="886" spans="1:14" x14ac:dyDescent="0.25">
      <c r="A886" t="s">
        <v>974</v>
      </c>
      <c r="B886">
        <v>5313</v>
      </c>
      <c r="C886">
        <v>2037</v>
      </c>
      <c r="D886">
        <v>7</v>
      </c>
      <c r="E886" t="s">
        <v>14</v>
      </c>
      <c r="F886" t="s">
        <v>26</v>
      </c>
      <c r="G886" t="s">
        <v>30</v>
      </c>
      <c r="H886" s="1">
        <v>45621</v>
      </c>
      <c r="I886" t="s">
        <v>975</v>
      </c>
      <c r="J886" t="s">
        <v>38</v>
      </c>
      <c r="K886" t="s">
        <v>79</v>
      </c>
      <c r="L886" s="1">
        <v>45597</v>
      </c>
      <c r="M886">
        <v>0.38339920948616601</v>
      </c>
      <c r="N886">
        <v>5.4923499411533899E-4</v>
      </c>
    </row>
    <row r="887" spans="1:14" x14ac:dyDescent="0.25">
      <c r="A887" t="s">
        <v>974</v>
      </c>
      <c r="B887">
        <v>5313</v>
      </c>
      <c r="C887">
        <v>2037</v>
      </c>
      <c r="D887">
        <v>7</v>
      </c>
      <c r="E887" t="s">
        <v>14</v>
      </c>
      <c r="F887" t="s">
        <v>26</v>
      </c>
      <c r="G887" t="s">
        <v>30</v>
      </c>
      <c r="H887" s="1">
        <v>44498</v>
      </c>
      <c r="I887" t="s">
        <v>976</v>
      </c>
      <c r="J887" t="s">
        <v>63</v>
      </c>
      <c r="K887" t="s">
        <v>112</v>
      </c>
      <c r="L887" s="1">
        <v>44470</v>
      </c>
      <c r="M887">
        <v>0.38339920948616601</v>
      </c>
      <c r="N887">
        <v>5.4923499411533899E-4</v>
      </c>
    </row>
    <row r="888" spans="1:14" x14ac:dyDescent="0.25">
      <c r="A888" t="s">
        <v>977</v>
      </c>
      <c r="B888">
        <v>3281</v>
      </c>
      <c r="C888">
        <v>471</v>
      </c>
      <c r="D888">
        <v>7</v>
      </c>
      <c r="E888" t="s">
        <v>40</v>
      </c>
      <c r="F888" t="s">
        <v>52</v>
      </c>
      <c r="G888" t="s">
        <v>36</v>
      </c>
      <c r="H888" s="1">
        <v>45287</v>
      </c>
      <c r="I888" t="s">
        <v>978</v>
      </c>
      <c r="J888" t="s">
        <v>38</v>
      </c>
      <c r="K888" t="s">
        <v>39</v>
      </c>
      <c r="L888" s="1">
        <v>45261</v>
      </c>
      <c r="M888">
        <v>0.14355379457482501</v>
      </c>
      <c r="N888">
        <v>5.4923499411533899E-4</v>
      </c>
    </row>
    <row r="889" spans="1:14" x14ac:dyDescent="0.25">
      <c r="A889" t="s">
        <v>977</v>
      </c>
      <c r="B889">
        <v>3281</v>
      </c>
      <c r="C889">
        <v>471</v>
      </c>
      <c r="D889">
        <v>7</v>
      </c>
      <c r="E889" t="s">
        <v>40</v>
      </c>
      <c r="F889" t="s">
        <v>52</v>
      </c>
      <c r="G889" t="s">
        <v>36</v>
      </c>
      <c r="H889" s="1">
        <v>45102</v>
      </c>
      <c r="I889" t="s">
        <v>979</v>
      </c>
      <c r="J889" t="s">
        <v>21</v>
      </c>
      <c r="K889" t="s">
        <v>138</v>
      </c>
      <c r="L889" s="1">
        <v>45078</v>
      </c>
      <c r="M889">
        <v>0.14355379457482501</v>
      </c>
      <c r="N889">
        <v>5.4923499411533899E-4</v>
      </c>
    </row>
    <row r="890" spans="1:14" x14ac:dyDescent="0.25">
      <c r="A890" t="s">
        <v>980</v>
      </c>
      <c r="B890">
        <v>8681</v>
      </c>
      <c r="C890">
        <v>2458</v>
      </c>
      <c r="D890">
        <v>9</v>
      </c>
      <c r="E890" t="s">
        <v>28</v>
      </c>
      <c r="F890" t="s">
        <v>29</v>
      </c>
      <c r="G890" t="s">
        <v>42</v>
      </c>
      <c r="H890" s="1">
        <v>44075</v>
      </c>
      <c r="I890" t="s">
        <v>981</v>
      </c>
      <c r="J890" t="s">
        <v>24</v>
      </c>
      <c r="K890" t="s">
        <v>46</v>
      </c>
      <c r="L890" s="1">
        <v>44075</v>
      </c>
      <c r="M890">
        <v>0.283147102868333</v>
      </c>
      <c r="N890">
        <v>7.0615927814829404E-4</v>
      </c>
    </row>
    <row r="891" spans="1:14" x14ac:dyDescent="0.25">
      <c r="A891" t="s">
        <v>982</v>
      </c>
      <c r="B891">
        <v>6195</v>
      </c>
      <c r="C891">
        <v>1556</v>
      </c>
      <c r="D891">
        <v>18</v>
      </c>
      <c r="E891" t="s">
        <v>40</v>
      </c>
      <c r="F891" t="s">
        <v>52</v>
      </c>
      <c r="G891" t="s">
        <v>36</v>
      </c>
      <c r="H891" s="1">
        <v>45689</v>
      </c>
      <c r="I891" t="s">
        <v>983</v>
      </c>
      <c r="J891" t="s">
        <v>21</v>
      </c>
      <c r="K891" t="s">
        <v>55</v>
      </c>
      <c r="L891" s="1">
        <v>45689</v>
      </c>
      <c r="M891">
        <v>0.251170298627926</v>
      </c>
      <c r="N891">
        <v>1.41231855629659E-3</v>
      </c>
    </row>
    <row r="892" spans="1:14" x14ac:dyDescent="0.25">
      <c r="A892" t="s">
        <v>984</v>
      </c>
      <c r="B892">
        <v>3877</v>
      </c>
      <c r="C892">
        <v>481</v>
      </c>
      <c r="D892">
        <v>16</v>
      </c>
      <c r="E892" t="s">
        <v>40</v>
      </c>
      <c r="F892" t="s">
        <v>44</v>
      </c>
      <c r="G892" t="s">
        <v>30</v>
      </c>
      <c r="H892" s="1">
        <v>45129</v>
      </c>
      <c r="I892" t="s">
        <v>985</v>
      </c>
      <c r="J892" t="s">
        <v>24</v>
      </c>
      <c r="K892" t="s">
        <v>60</v>
      </c>
      <c r="L892" s="1">
        <v>45108</v>
      </c>
      <c r="M892">
        <v>0.124064998710343</v>
      </c>
      <c r="N892">
        <v>1.25539427226363E-3</v>
      </c>
    </row>
    <row r="893" spans="1:14" x14ac:dyDescent="0.25">
      <c r="A893" t="s">
        <v>984</v>
      </c>
      <c r="B893">
        <v>3877</v>
      </c>
      <c r="C893">
        <v>481</v>
      </c>
      <c r="D893">
        <v>16</v>
      </c>
      <c r="E893" t="s">
        <v>40</v>
      </c>
      <c r="F893" t="s">
        <v>44</v>
      </c>
      <c r="G893" t="s">
        <v>30</v>
      </c>
      <c r="H893" s="1">
        <v>44596</v>
      </c>
      <c r="I893" t="s">
        <v>986</v>
      </c>
      <c r="J893" t="s">
        <v>24</v>
      </c>
      <c r="K893" t="s">
        <v>46</v>
      </c>
      <c r="L893" s="1">
        <v>44593</v>
      </c>
      <c r="M893">
        <v>0.124064998710343</v>
      </c>
      <c r="N893">
        <v>1.25539427226363E-3</v>
      </c>
    </row>
    <row r="894" spans="1:14" x14ac:dyDescent="0.25">
      <c r="A894" t="s">
        <v>987</v>
      </c>
      <c r="B894">
        <v>9369</v>
      </c>
      <c r="C894">
        <v>3297</v>
      </c>
      <c r="D894">
        <v>6</v>
      </c>
      <c r="E894" t="s">
        <v>14</v>
      </c>
      <c r="F894" t="s">
        <v>26</v>
      </c>
      <c r="G894" t="s">
        <v>30</v>
      </c>
      <c r="H894" s="1">
        <v>45196</v>
      </c>
      <c r="I894" t="s">
        <v>988</v>
      </c>
      <c r="J894" t="s">
        <v>18</v>
      </c>
      <c r="K894" t="s">
        <v>32</v>
      </c>
      <c r="L894" s="1">
        <v>45170</v>
      </c>
      <c r="M894">
        <v>0.35190521934037799</v>
      </c>
      <c r="N894">
        <v>4.7077285209886201E-4</v>
      </c>
    </row>
    <row r="895" spans="1:14" x14ac:dyDescent="0.25">
      <c r="A895" t="s">
        <v>987</v>
      </c>
      <c r="B895">
        <v>9369</v>
      </c>
      <c r="C895">
        <v>3297</v>
      </c>
      <c r="D895">
        <v>6</v>
      </c>
      <c r="E895" t="s">
        <v>14</v>
      </c>
      <c r="F895" t="s">
        <v>26</v>
      </c>
      <c r="G895" t="s">
        <v>30</v>
      </c>
      <c r="H895" s="1">
        <v>45687</v>
      </c>
      <c r="I895" t="s">
        <v>989</v>
      </c>
      <c r="J895" t="s">
        <v>24</v>
      </c>
      <c r="K895" t="s">
        <v>46</v>
      </c>
      <c r="L895" s="1">
        <v>45658</v>
      </c>
      <c r="M895">
        <v>0.35190521934037799</v>
      </c>
      <c r="N895">
        <v>4.7077285209886201E-4</v>
      </c>
    </row>
    <row r="896" spans="1:14" x14ac:dyDescent="0.25">
      <c r="A896" t="s">
        <v>987</v>
      </c>
      <c r="B896">
        <v>8680</v>
      </c>
      <c r="C896">
        <v>4068</v>
      </c>
      <c r="D896">
        <v>20</v>
      </c>
      <c r="E896" t="s">
        <v>14</v>
      </c>
      <c r="F896" t="s">
        <v>26</v>
      </c>
      <c r="G896" t="s">
        <v>42</v>
      </c>
      <c r="H896" s="1">
        <v>45196</v>
      </c>
      <c r="I896" t="s">
        <v>988</v>
      </c>
      <c r="J896" t="s">
        <v>18</v>
      </c>
      <c r="K896" t="s">
        <v>32</v>
      </c>
      <c r="L896" s="1">
        <v>45170</v>
      </c>
      <c r="M896">
        <v>0.46866359447004602</v>
      </c>
      <c r="N896">
        <v>1.5692428403295401E-3</v>
      </c>
    </row>
    <row r="897" spans="1:14" x14ac:dyDescent="0.25">
      <c r="A897" t="s">
        <v>987</v>
      </c>
      <c r="B897">
        <v>8680</v>
      </c>
      <c r="C897">
        <v>4068</v>
      </c>
      <c r="D897">
        <v>20</v>
      </c>
      <c r="E897" t="s">
        <v>14</v>
      </c>
      <c r="F897" t="s">
        <v>26</v>
      </c>
      <c r="G897" t="s">
        <v>42</v>
      </c>
      <c r="H897" s="1">
        <v>45687</v>
      </c>
      <c r="I897" t="s">
        <v>989</v>
      </c>
      <c r="J897" t="s">
        <v>24</v>
      </c>
      <c r="K897" t="s">
        <v>46</v>
      </c>
      <c r="L897" s="1">
        <v>45658</v>
      </c>
      <c r="M897">
        <v>0.46866359447004602</v>
      </c>
      <c r="N897">
        <v>1.5692428403295401E-3</v>
      </c>
    </row>
    <row r="898" spans="1:14" x14ac:dyDescent="0.25">
      <c r="A898" t="s">
        <v>987</v>
      </c>
      <c r="B898">
        <v>3067</v>
      </c>
      <c r="C898">
        <v>1475</v>
      </c>
      <c r="D898">
        <v>8</v>
      </c>
      <c r="E898" t="s">
        <v>14</v>
      </c>
      <c r="F898" t="s">
        <v>35</v>
      </c>
      <c r="G898" t="s">
        <v>16</v>
      </c>
      <c r="H898" s="1">
        <v>45196</v>
      </c>
      <c r="I898" t="s">
        <v>988</v>
      </c>
      <c r="J898" t="s">
        <v>18</v>
      </c>
      <c r="K898" t="s">
        <v>32</v>
      </c>
      <c r="L898" s="1">
        <v>45170</v>
      </c>
      <c r="M898">
        <v>0.480925986305836</v>
      </c>
      <c r="N898">
        <v>6.2769713613181597E-4</v>
      </c>
    </row>
    <row r="899" spans="1:14" x14ac:dyDescent="0.25">
      <c r="A899" t="s">
        <v>987</v>
      </c>
      <c r="B899">
        <v>3067</v>
      </c>
      <c r="C899">
        <v>1475</v>
      </c>
      <c r="D899">
        <v>8</v>
      </c>
      <c r="E899" t="s">
        <v>14</v>
      </c>
      <c r="F899" t="s">
        <v>35</v>
      </c>
      <c r="G899" t="s">
        <v>16</v>
      </c>
      <c r="H899" s="1">
        <v>45687</v>
      </c>
      <c r="I899" t="s">
        <v>989</v>
      </c>
      <c r="J899" t="s">
        <v>24</v>
      </c>
      <c r="K899" t="s">
        <v>46</v>
      </c>
      <c r="L899" s="1">
        <v>45658</v>
      </c>
      <c r="M899">
        <v>0.480925986305836</v>
      </c>
      <c r="N899">
        <v>6.2769713613181597E-4</v>
      </c>
    </row>
    <row r="900" spans="1:14" x14ac:dyDescent="0.25">
      <c r="A900" t="s">
        <v>990</v>
      </c>
      <c r="B900">
        <v>9002</v>
      </c>
      <c r="C900">
        <v>4197</v>
      </c>
      <c r="D900">
        <v>2</v>
      </c>
      <c r="E900" t="s">
        <v>28</v>
      </c>
      <c r="F900" t="s">
        <v>50</v>
      </c>
      <c r="G900" t="s">
        <v>36</v>
      </c>
      <c r="H900" s="1">
        <v>45672</v>
      </c>
      <c r="I900" t="s">
        <v>991</v>
      </c>
      <c r="J900" t="s">
        <v>83</v>
      </c>
      <c r="K900" t="s">
        <v>90</v>
      </c>
      <c r="L900" s="1">
        <v>45658</v>
      </c>
      <c r="M900">
        <v>0.46622972672739399</v>
      </c>
      <c r="N900">
        <v>1.5692428403295399E-4</v>
      </c>
    </row>
    <row r="901" spans="1:14" x14ac:dyDescent="0.25">
      <c r="A901" t="s">
        <v>990</v>
      </c>
      <c r="B901">
        <v>9002</v>
      </c>
      <c r="C901">
        <v>4197</v>
      </c>
      <c r="D901">
        <v>2</v>
      </c>
      <c r="E901" t="s">
        <v>28</v>
      </c>
      <c r="F901" t="s">
        <v>50</v>
      </c>
      <c r="G901" t="s">
        <v>36</v>
      </c>
      <c r="H901" s="1">
        <v>44283</v>
      </c>
      <c r="I901" t="s">
        <v>992</v>
      </c>
      <c r="J901" t="s">
        <v>83</v>
      </c>
      <c r="K901" t="s">
        <v>84</v>
      </c>
      <c r="L901" s="1">
        <v>44256</v>
      </c>
      <c r="M901">
        <v>0.46622972672739399</v>
      </c>
      <c r="N901">
        <v>1.5692428403295399E-4</v>
      </c>
    </row>
    <row r="902" spans="1:14" x14ac:dyDescent="0.25">
      <c r="A902" t="s">
        <v>993</v>
      </c>
      <c r="B902">
        <v>7105</v>
      </c>
      <c r="C902">
        <v>2782</v>
      </c>
      <c r="D902">
        <v>19</v>
      </c>
      <c r="E902" t="s">
        <v>28</v>
      </c>
      <c r="F902" t="s">
        <v>29</v>
      </c>
      <c r="G902" t="s">
        <v>57</v>
      </c>
      <c r="H902" s="1">
        <v>44555</v>
      </c>
      <c r="I902" t="s">
        <v>994</v>
      </c>
      <c r="J902" t="s">
        <v>83</v>
      </c>
      <c r="K902" t="s">
        <v>84</v>
      </c>
      <c r="L902" s="1">
        <v>44531</v>
      </c>
      <c r="M902">
        <v>0.39155524278677001</v>
      </c>
      <c r="N902">
        <v>1.4907806983130601E-3</v>
      </c>
    </row>
    <row r="903" spans="1:14" x14ac:dyDescent="0.25">
      <c r="A903" t="s">
        <v>995</v>
      </c>
      <c r="B903">
        <v>5317</v>
      </c>
      <c r="C903">
        <v>1345</v>
      </c>
      <c r="D903">
        <v>18</v>
      </c>
      <c r="E903" t="s">
        <v>40</v>
      </c>
      <c r="F903" t="s">
        <v>44</v>
      </c>
      <c r="G903" t="s">
        <v>30</v>
      </c>
      <c r="H903" s="1">
        <v>44960</v>
      </c>
      <c r="I903" t="s">
        <v>996</v>
      </c>
      <c r="J903" t="s">
        <v>83</v>
      </c>
      <c r="K903" t="s">
        <v>84</v>
      </c>
      <c r="L903" s="1">
        <v>44958</v>
      </c>
      <c r="M903">
        <v>0.25296219672747799</v>
      </c>
      <c r="N903">
        <v>1.41231855629659E-3</v>
      </c>
    </row>
    <row r="904" spans="1:14" x14ac:dyDescent="0.25">
      <c r="A904" t="s">
        <v>995</v>
      </c>
      <c r="B904">
        <v>5317</v>
      </c>
      <c r="C904">
        <v>1345</v>
      </c>
      <c r="D904">
        <v>18</v>
      </c>
      <c r="E904" t="s">
        <v>40</v>
      </c>
      <c r="F904" t="s">
        <v>44</v>
      </c>
      <c r="G904" t="s">
        <v>30</v>
      </c>
      <c r="H904" s="1">
        <v>45044</v>
      </c>
      <c r="I904" t="s">
        <v>997</v>
      </c>
      <c r="J904" t="s">
        <v>18</v>
      </c>
      <c r="K904" t="s">
        <v>32</v>
      </c>
      <c r="L904" s="1">
        <v>45017</v>
      </c>
      <c r="M904">
        <v>0.25296219672747799</v>
      </c>
      <c r="N904">
        <v>1.41231855629659E-3</v>
      </c>
    </row>
    <row r="905" spans="1:14" x14ac:dyDescent="0.25">
      <c r="A905" t="s">
        <v>995</v>
      </c>
      <c r="B905">
        <v>5317</v>
      </c>
      <c r="C905">
        <v>1345</v>
      </c>
      <c r="D905">
        <v>18</v>
      </c>
      <c r="E905" t="s">
        <v>40</v>
      </c>
      <c r="F905" t="s">
        <v>44</v>
      </c>
      <c r="G905" t="s">
        <v>30</v>
      </c>
      <c r="H905" s="1">
        <v>45618</v>
      </c>
      <c r="I905" t="s">
        <v>998</v>
      </c>
      <c r="J905" t="s">
        <v>38</v>
      </c>
      <c r="K905" t="s">
        <v>79</v>
      </c>
      <c r="L905" s="1">
        <v>45597</v>
      </c>
      <c r="M905">
        <v>0.25296219672747799</v>
      </c>
      <c r="N905">
        <v>1.41231855629659E-3</v>
      </c>
    </row>
    <row r="906" spans="1:14" x14ac:dyDescent="0.25">
      <c r="A906" t="s">
        <v>995</v>
      </c>
      <c r="B906">
        <v>6304</v>
      </c>
      <c r="C906">
        <v>766</v>
      </c>
      <c r="D906">
        <v>14</v>
      </c>
      <c r="E906" t="s">
        <v>40</v>
      </c>
      <c r="F906" t="s">
        <v>41</v>
      </c>
      <c r="G906" t="s">
        <v>36</v>
      </c>
      <c r="H906" s="1">
        <v>44960</v>
      </c>
      <c r="I906" t="s">
        <v>996</v>
      </c>
      <c r="J906" t="s">
        <v>83</v>
      </c>
      <c r="K906" t="s">
        <v>84</v>
      </c>
      <c r="L906" s="1">
        <v>44958</v>
      </c>
      <c r="M906">
        <v>0.121510152284264</v>
      </c>
      <c r="N906">
        <v>1.0984699882306799E-3</v>
      </c>
    </row>
    <row r="907" spans="1:14" x14ac:dyDescent="0.25">
      <c r="A907" t="s">
        <v>995</v>
      </c>
      <c r="B907">
        <v>6304</v>
      </c>
      <c r="C907">
        <v>766</v>
      </c>
      <c r="D907">
        <v>14</v>
      </c>
      <c r="E907" t="s">
        <v>40</v>
      </c>
      <c r="F907" t="s">
        <v>41</v>
      </c>
      <c r="G907" t="s">
        <v>36</v>
      </c>
      <c r="H907" s="1">
        <v>45044</v>
      </c>
      <c r="I907" t="s">
        <v>997</v>
      </c>
      <c r="J907" t="s">
        <v>18</v>
      </c>
      <c r="K907" t="s">
        <v>32</v>
      </c>
      <c r="L907" s="1">
        <v>45017</v>
      </c>
      <c r="M907">
        <v>0.121510152284264</v>
      </c>
      <c r="N907">
        <v>1.0984699882306799E-3</v>
      </c>
    </row>
    <row r="908" spans="1:14" x14ac:dyDescent="0.25">
      <c r="A908" t="s">
        <v>995</v>
      </c>
      <c r="B908">
        <v>6304</v>
      </c>
      <c r="C908">
        <v>766</v>
      </c>
      <c r="D908">
        <v>14</v>
      </c>
      <c r="E908" t="s">
        <v>40</v>
      </c>
      <c r="F908" t="s">
        <v>41</v>
      </c>
      <c r="G908" t="s">
        <v>36</v>
      </c>
      <c r="H908" s="1">
        <v>45618</v>
      </c>
      <c r="I908" t="s">
        <v>998</v>
      </c>
      <c r="J908" t="s">
        <v>38</v>
      </c>
      <c r="K908" t="s">
        <v>79</v>
      </c>
      <c r="L908" s="1">
        <v>45597</v>
      </c>
      <c r="M908">
        <v>0.121510152284264</v>
      </c>
      <c r="N908">
        <v>1.0984699882306799E-3</v>
      </c>
    </row>
    <row r="909" spans="1:14" x14ac:dyDescent="0.25">
      <c r="A909" t="s">
        <v>999</v>
      </c>
      <c r="B909">
        <v>9565</v>
      </c>
      <c r="C909">
        <v>1691</v>
      </c>
      <c r="D909">
        <v>3</v>
      </c>
      <c r="E909" t="s">
        <v>28</v>
      </c>
      <c r="F909" t="s">
        <v>56</v>
      </c>
      <c r="G909" t="s">
        <v>30</v>
      </c>
      <c r="H909" s="1">
        <v>45475</v>
      </c>
      <c r="I909" t="s">
        <v>1000</v>
      </c>
      <c r="J909" t="s">
        <v>21</v>
      </c>
      <c r="K909" t="s">
        <v>55</v>
      </c>
      <c r="L909" s="1">
        <v>45474</v>
      </c>
      <c r="M909">
        <v>0.17679038159958199</v>
      </c>
      <c r="N909">
        <v>2.35386426049431E-4</v>
      </c>
    </row>
    <row r="910" spans="1:14" x14ac:dyDescent="0.25">
      <c r="A910" t="s">
        <v>999</v>
      </c>
      <c r="B910">
        <v>8245</v>
      </c>
      <c r="C910">
        <v>324</v>
      </c>
      <c r="D910">
        <v>11</v>
      </c>
      <c r="E910" t="s">
        <v>28</v>
      </c>
      <c r="F910" t="s">
        <v>56</v>
      </c>
      <c r="G910" t="s">
        <v>36</v>
      </c>
      <c r="H910" s="1">
        <v>45475</v>
      </c>
      <c r="I910" t="s">
        <v>1000</v>
      </c>
      <c r="J910" t="s">
        <v>21</v>
      </c>
      <c r="K910" t="s">
        <v>55</v>
      </c>
      <c r="L910" s="1">
        <v>45474</v>
      </c>
      <c r="M910">
        <v>3.9296543359611899E-2</v>
      </c>
      <c r="N910">
        <v>8.6308356218124801E-4</v>
      </c>
    </row>
    <row r="911" spans="1:14" x14ac:dyDescent="0.25">
      <c r="A911" t="s">
        <v>1001</v>
      </c>
      <c r="B911">
        <v>1592</v>
      </c>
      <c r="C911">
        <v>480</v>
      </c>
      <c r="D911">
        <v>13</v>
      </c>
      <c r="E911" t="s">
        <v>14</v>
      </c>
      <c r="F911" t="s">
        <v>35</v>
      </c>
      <c r="G911" t="s">
        <v>30</v>
      </c>
      <c r="H911" s="1">
        <v>44579</v>
      </c>
      <c r="I911" t="s">
        <v>1002</v>
      </c>
      <c r="J911" t="s">
        <v>83</v>
      </c>
      <c r="K911" t="s">
        <v>98</v>
      </c>
      <c r="L911" s="1">
        <v>44562</v>
      </c>
      <c r="M911">
        <v>0.30150753768844202</v>
      </c>
      <c r="N911">
        <v>1.0200078462141999E-3</v>
      </c>
    </row>
    <row r="912" spans="1:14" x14ac:dyDescent="0.25">
      <c r="A912" t="s">
        <v>1003</v>
      </c>
      <c r="B912">
        <v>8400</v>
      </c>
      <c r="C912">
        <v>267</v>
      </c>
      <c r="D912">
        <v>5</v>
      </c>
      <c r="E912" t="s">
        <v>14</v>
      </c>
      <c r="F912" t="s">
        <v>71</v>
      </c>
      <c r="G912" t="s">
        <v>30</v>
      </c>
      <c r="H912" s="1">
        <v>45573</v>
      </c>
      <c r="I912" t="s">
        <v>1004</v>
      </c>
      <c r="J912" t="s">
        <v>83</v>
      </c>
      <c r="K912" t="s">
        <v>84</v>
      </c>
      <c r="L912" s="1">
        <v>45566</v>
      </c>
      <c r="M912">
        <v>3.1785714285714299E-2</v>
      </c>
      <c r="N912">
        <v>3.9231071008238503E-4</v>
      </c>
    </row>
    <row r="913" spans="1:14" x14ac:dyDescent="0.25">
      <c r="A913" t="s">
        <v>1003</v>
      </c>
      <c r="B913">
        <v>4963</v>
      </c>
      <c r="C913">
        <v>1254</v>
      </c>
      <c r="D913">
        <v>15</v>
      </c>
      <c r="E913" t="s">
        <v>28</v>
      </c>
      <c r="F913" t="s">
        <v>56</v>
      </c>
      <c r="G913" t="s">
        <v>36</v>
      </c>
      <c r="H913" s="1">
        <v>45573</v>
      </c>
      <c r="I913" t="s">
        <v>1004</v>
      </c>
      <c r="J913" t="s">
        <v>83</v>
      </c>
      <c r="K913" t="s">
        <v>84</v>
      </c>
      <c r="L913" s="1">
        <v>45566</v>
      </c>
      <c r="M913">
        <v>0.25266975619584903</v>
      </c>
      <c r="N913">
        <v>1.17693213024716E-3</v>
      </c>
    </row>
    <row r="914" spans="1:14" x14ac:dyDescent="0.25">
      <c r="A914" t="s">
        <v>1005</v>
      </c>
      <c r="B914">
        <v>2472</v>
      </c>
      <c r="C914">
        <v>211</v>
      </c>
      <c r="D914">
        <v>5</v>
      </c>
      <c r="E914" t="s">
        <v>14</v>
      </c>
      <c r="F914" t="s">
        <v>26</v>
      </c>
      <c r="G914" t="s">
        <v>57</v>
      </c>
      <c r="H914" s="1">
        <v>44003</v>
      </c>
      <c r="I914" t="s">
        <v>1006</v>
      </c>
      <c r="J914" t="s">
        <v>38</v>
      </c>
      <c r="K914" t="s">
        <v>66</v>
      </c>
      <c r="L914" s="1">
        <v>43983</v>
      </c>
      <c r="M914">
        <v>8.5355987055016194E-2</v>
      </c>
      <c r="N914">
        <v>3.9231071008238503E-4</v>
      </c>
    </row>
    <row r="915" spans="1:14" x14ac:dyDescent="0.25">
      <c r="A915" t="s">
        <v>1007</v>
      </c>
      <c r="B915">
        <v>9132</v>
      </c>
      <c r="C915">
        <v>3096</v>
      </c>
      <c r="D915">
        <v>14</v>
      </c>
      <c r="E915" t="s">
        <v>40</v>
      </c>
      <c r="F915" t="s">
        <v>44</v>
      </c>
      <c r="G915" t="s">
        <v>30</v>
      </c>
      <c r="H915" s="1">
        <v>45274</v>
      </c>
      <c r="I915" t="s">
        <v>1008</v>
      </c>
      <c r="J915" t="s">
        <v>18</v>
      </c>
      <c r="K915" t="s">
        <v>122</v>
      </c>
      <c r="L915" s="1">
        <v>45261</v>
      </c>
      <c r="M915">
        <v>0.33902759526938198</v>
      </c>
      <c r="N915">
        <v>1.0984699882306799E-3</v>
      </c>
    </row>
    <row r="916" spans="1:14" x14ac:dyDescent="0.25">
      <c r="A916" t="s">
        <v>1009</v>
      </c>
      <c r="B916">
        <v>8305</v>
      </c>
      <c r="C916">
        <v>1577</v>
      </c>
      <c r="D916">
        <v>6</v>
      </c>
      <c r="E916" t="s">
        <v>28</v>
      </c>
      <c r="F916" t="s">
        <v>68</v>
      </c>
      <c r="G916" t="s">
        <v>30</v>
      </c>
      <c r="H916" s="1">
        <v>44181</v>
      </c>
      <c r="I916" t="s">
        <v>1010</v>
      </c>
      <c r="J916" t="s">
        <v>24</v>
      </c>
      <c r="K916" t="s">
        <v>60</v>
      </c>
      <c r="L916" s="1">
        <v>44166</v>
      </c>
      <c r="M916">
        <v>0.189885611077664</v>
      </c>
      <c r="N916">
        <v>4.7077285209886201E-4</v>
      </c>
    </row>
    <row r="917" spans="1:14" x14ac:dyDescent="0.25">
      <c r="A917" t="s">
        <v>1011</v>
      </c>
      <c r="B917">
        <v>1010</v>
      </c>
      <c r="C917">
        <v>58</v>
      </c>
      <c r="D917">
        <v>19</v>
      </c>
      <c r="E917" t="s">
        <v>14</v>
      </c>
      <c r="F917" t="s">
        <v>15</v>
      </c>
      <c r="G917" t="s">
        <v>57</v>
      </c>
      <c r="H917" s="1">
        <v>45731</v>
      </c>
      <c r="I917" t="s">
        <v>1012</v>
      </c>
      <c r="J917" t="s">
        <v>18</v>
      </c>
      <c r="K917" t="s">
        <v>122</v>
      </c>
      <c r="L917" s="1">
        <v>45717</v>
      </c>
      <c r="M917">
        <v>5.74257425742574E-2</v>
      </c>
      <c r="N917">
        <v>1.4907806983130601E-3</v>
      </c>
    </row>
    <row r="918" spans="1:14" x14ac:dyDescent="0.25">
      <c r="A918" t="s">
        <v>1013</v>
      </c>
      <c r="B918">
        <v>4544</v>
      </c>
      <c r="C918">
        <v>1726</v>
      </c>
      <c r="D918">
        <v>9</v>
      </c>
      <c r="E918" t="s">
        <v>14</v>
      </c>
      <c r="F918" t="s">
        <v>71</v>
      </c>
      <c r="G918" t="s">
        <v>36</v>
      </c>
      <c r="H918" s="1">
        <v>45525</v>
      </c>
      <c r="I918" t="s">
        <v>1014</v>
      </c>
      <c r="J918" t="s">
        <v>63</v>
      </c>
      <c r="K918" t="s">
        <v>64</v>
      </c>
      <c r="L918" s="1">
        <v>45505</v>
      </c>
      <c r="M918">
        <v>0.37984154929577502</v>
      </c>
      <c r="N918">
        <v>7.0615927814829404E-4</v>
      </c>
    </row>
    <row r="919" spans="1:14" x14ac:dyDescent="0.25">
      <c r="A919" t="s">
        <v>1013</v>
      </c>
      <c r="B919">
        <v>5900</v>
      </c>
      <c r="C919">
        <v>1738</v>
      </c>
      <c r="D919">
        <v>20</v>
      </c>
      <c r="E919" t="s">
        <v>14</v>
      </c>
      <c r="F919" t="s">
        <v>71</v>
      </c>
      <c r="G919" t="s">
        <v>16</v>
      </c>
      <c r="H919" s="1">
        <v>45525</v>
      </c>
      <c r="I919" t="s">
        <v>1014</v>
      </c>
      <c r="J919" t="s">
        <v>63</v>
      </c>
      <c r="K919" t="s">
        <v>64</v>
      </c>
      <c r="L919" s="1">
        <v>45505</v>
      </c>
      <c r="M919">
        <v>0.29457627118644097</v>
      </c>
      <c r="N919">
        <v>1.5692428403295401E-3</v>
      </c>
    </row>
    <row r="920" spans="1:14" x14ac:dyDescent="0.25">
      <c r="A920" t="s">
        <v>1015</v>
      </c>
      <c r="B920">
        <v>8861</v>
      </c>
      <c r="C920">
        <v>3381</v>
      </c>
      <c r="D920">
        <v>19</v>
      </c>
      <c r="E920" t="s">
        <v>28</v>
      </c>
      <c r="F920" t="s">
        <v>50</v>
      </c>
      <c r="G920" t="s">
        <v>42</v>
      </c>
      <c r="H920" s="1">
        <v>44343</v>
      </c>
      <c r="I920" t="s">
        <v>1016</v>
      </c>
      <c r="J920" t="s">
        <v>38</v>
      </c>
      <c r="K920" t="s">
        <v>66</v>
      </c>
      <c r="L920" s="1">
        <v>44317</v>
      </c>
      <c r="M920">
        <v>0.38155964338110798</v>
      </c>
      <c r="N920">
        <v>1.4907806983130601E-3</v>
      </c>
    </row>
    <row r="921" spans="1:14" x14ac:dyDescent="0.25">
      <c r="A921" t="s">
        <v>1017</v>
      </c>
      <c r="B921">
        <v>8158</v>
      </c>
      <c r="C921">
        <v>2052</v>
      </c>
      <c r="D921">
        <v>13</v>
      </c>
      <c r="E921" t="s">
        <v>14</v>
      </c>
      <c r="F921" t="s">
        <v>71</v>
      </c>
      <c r="G921" t="s">
        <v>30</v>
      </c>
      <c r="H921" s="1">
        <v>44095</v>
      </c>
      <c r="I921" t="s">
        <v>1018</v>
      </c>
      <c r="J921" t="s">
        <v>83</v>
      </c>
      <c r="K921" t="s">
        <v>90</v>
      </c>
      <c r="L921" s="1">
        <v>44075</v>
      </c>
      <c r="M921">
        <v>0.25153223829369897</v>
      </c>
      <c r="N921">
        <v>1.0200078462141999E-3</v>
      </c>
    </row>
    <row r="922" spans="1:14" x14ac:dyDescent="0.25">
      <c r="A922" t="s">
        <v>1019</v>
      </c>
      <c r="B922">
        <v>3411</v>
      </c>
      <c r="C922">
        <v>1704</v>
      </c>
      <c r="D922">
        <v>14</v>
      </c>
      <c r="E922" t="s">
        <v>28</v>
      </c>
      <c r="F922" t="s">
        <v>29</v>
      </c>
      <c r="G922" t="s">
        <v>16</v>
      </c>
      <c r="H922" s="1">
        <v>45668</v>
      </c>
      <c r="I922" t="s">
        <v>1020</v>
      </c>
      <c r="J922" t="s">
        <v>38</v>
      </c>
      <c r="K922" t="s">
        <v>39</v>
      </c>
      <c r="L922" s="1">
        <v>45658</v>
      </c>
      <c r="M922">
        <v>0.499560246262093</v>
      </c>
      <c r="N922">
        <v>1.0984699882306799E-3</v>
      </c>
    </row>
    <row r="923" spans="1:14" x14ac:dyDescent="0.25">
      <c r="A923" t="s">
        <v>1021</v>
      </c>
      <c r="B923">
        <v>9406</v>
      </c>
      <c r="C923">
        <v>1137</v>
      </c>
      <c r="D923">
        <v>16</v>
      </c>
      <c r="E923" t="s">
        <v>28</v>
      </c>
      <c r="F923" t="s">
        <v>50</v>
      </c>
      <c r="G923" t="s">
        <v>16</v>
      </c>
      <c r="H923" s="1">
        <v>44489</v>
      </c>
      <c r="I923" t="s">
        <v>1022</v>
      </c>
      <c r="J923" t="s">
        <v>63</v>
      </c>
      <c r="K923" t="s">
        <v>112</v>
      </c>
      <c r="L923" s="1">
        <v>44470</v>
      </c>
      <c r="M923">
        <v>0.120880289177121</v>
      </c>
      <c r="N923">
        <v>1.25539427226363E-3</v>
      </c>
    </row>
    <row r="924" spans="1:14" x14ac:dyDescent="0.25">
      <c r="A924" t="s">
        <v>1021</v>
      </c>
      <c r="B924">
        <v>1156</v>
      </c>
      <c r="C924">
        <v>74</v>
      </c>
      <c r="D924">
        <v>15</v>
      </c>
      <c r="E924" t="s">
        <v>14</v>
      </c>
      <c r="F924" t="s">
        <v>26</v>
      </c>
      <c r="G924" t="s">
        <v>36</v>
      </c>
      <c r="H924" s="1">
        <v>44489</v>
      </c>
      <c r="I924" t="s">
        <v>1022</v>
      </c>
      <c r="J924" t="s">
        <v>63</v>
      </c>
      <c r="K924" t="s">
        <v>112</v>
      </c>
      <c r="L924" s="1">
        <v>44470</v>
      </c>
      <c r="M924">
        <v>6.4013840830449795E-2</v>
      </c>
      <c r="N924">
        <v>1.17693213024716E-3</v>
      </c>
    </row>
    <row r="925" spans="1:14" x14ac:dyDescent="0.25">
      <c r="A925" t="s">
        <v>1023</v>
      </c>
      <c r="B925">
        <v>5354</v>
      </c>
      <c r="C925">
        <v>743</v>
      </c>
      <c r="D925">
        <v>10</v>
      </c>
      <c r="E925" t="s">
        <v>40</v>
      </c>
      <c r="F925" t="s">
        <v>91</v>
      </c>
      <c r="G925" t="s">
        <v>16</v>
      </c>
      <c r="H925" s="1">
        <v>44488</v>
      </c>
      <c r="I925" t="s">
        <v>1024</v>
      </c>
      <c r="J925" t="s">
        <v>21</v>
      </c>
      <c r="K925" t="s">
        <v>55</v>
      </c>
      <c r="L925" s="1">
        <v>44470</v>
      </c>
      <c r="M925">
        <v>0.138774747852073</v>
      </c>
      <c r="N925">
        <v>7.8462142016477005E-4</v>
      </c>
    </row>
    <row r="926" spans="1:14" x14ac:dyDescent="0.25">
      <c r="A926" t="s">
        <v>1025</v>
      </c>
      <c r="B926">
        <v>8780</v>
      </c>
      <c r="C926">
        <v>3430</v>
      </c>
      <c r="D926">
        <v>4</v>
      </c>
      <c r="E926" t="s">
        <v>14</v>
      </c>
      <c r="F926" t="s">
        <v>15</v>
      </c>
      <c r="G926" t="s">
        <v>42</v>
      </c>
      <c r="H926" s="1">
        <v>45480</v>
      </c>
      <c r="I926" t="s">
        <v>1026</v>
      </c>
      <c r="J926" t="s">
        <v>63</v>
      </c>
      <c r="K926" t="s">
        <v>75</v>
      </c>
      <c r="L926" s="1">
        <v>45474</v>
      </c>
      <c r="M926">
        <v>0.39066059225512501</v>
      </c>
      <c r="N926">
        <v>3.1384856806590799E-4</v>
      </c>
    </row>
    <row r="927" spans="1:14" x14ac:dyDescent="0.25">
      <c r="A927" t="s">
        <v>1025</v>
      </c>
      <c r="B927">
        <v>8780</v>
      </c>
      <c r="C927">
        <v>3430</v>
      </c>
      <c r="D927">
        <v>4</v>
      </c>
      <c r="E927" t="s">
        <v>14</v>
      </c>
      <c r="F927" t="s">
        <v>15</v>
      </c>
      <c r="G927" t="s">
        <v>42</v>
      </c>
      <c r="H927" s="1">
        <v>45132</v>
      </c>
      <c r="I927" t="s">
        <v>1027</v>
      </c>
      <c r="J927" t="s">
        <v>63</v>
      </c>
      <c r="K927" t="s">
        <v>75</v>
      </c>
      <c r="L927" s="1">
        <v>45108</v>
      </c>
      <c r="M927">
        <v>0.39066059225512501</v>
      </c>
      <c r="N927">
        <v>3.1384856806590799E-4</v>
      </c>
    </row>
    <row r="928" spans="1:14" x14ac:dyDescent="0.25">
      <c r="A928" t="s">
        <v>1028</v>
      </c>
      <c r="B928">
        <v>6783</v>
      </c>
      <c r="C928">
        <v>3306</v>
      </c>
      <c r="D928">
        <v>8</v>
      </c>
      <c r="E928" t="s">
        <v>40</v>
      </c>
      <c r="F928" t="s">
        <v>52</v>
      </c>
      <c r="G928" t="s">
        <v>30</v>
      </c>
      <c r="H928" s="1">
        <v>43937</v>
      </c>
      <c r="I928" t="s">
        <v>1029</v>
      </c>
      <c r="J928" t="s">
        <v>83</v>
      </c>
      <c r="K928" t="s">
        <v>84</v>
      </c>
      <c r="L928" s="1">
        <v>43922</v>
      </c>
      <c r="M928">
        <v>0.48739495798319299</v>
      </c>
      <c r="N928">
        <v>6.2769713613181597E-4</v>
      </c>
    </row>
    <row r="929" spans="1:14" x14ac:dyDescent="0.25">
      <c r="A929" t="s">
        <v>1030</v>
      </c>
      <c r="B929">
        <v>1778</v>
      </c>
      <c r="C929">
        <v>285</v>
      </c>
      <c r="D929">
        <v>4</v>
      </c>
      <c r="E929" t="s">
        <v>28</v>
      </c>
      <c r="F929" t="s">
        <v>29</v>
      </c>
      <c r="G929" t="s">
        <v>42</v>
      </c>
      <c r="H929" s="1">
        <v>44016</v>
      </c>
      <c r="I929" t="s">
        <v>1031</v>
      </c>
      <c r="J929" t="s">
        <v>24</v>
      </c>
      <c r="K929" t="s">
        <v>46</v>
      </c>
      <c r="L929" s="1">
        <v>44013</v>
      </c>
      <c r="M929">
        <v>0.16029246344206999</v>
      </c>
      <c r="N929">
        <v>3.1384856806590799E-4</v>
      </c>
    </row>
    <row r="930" spans="1:14" x14ac:dyDescent="0.25">
      <c r="A930" t="s">
        <v>1032</v>
      </c>
      <c r="B930">
        <v>9399</v>
      </c>
      <c r="C930">
        <v>1949</v>
      </c>
      <c r="D930">
        <v>12</v>
      </c>
      <c r="E930" t="s">
        <v>14</v>
      </c>
      <c r="F930" t="s">
        <v>26</v>
      </c>
      <c r="G930" t="s">
        <v>16</v>
      </c>
      <c r="H930" s="1">
        <v>44697</v>
      </c>
      <c r="I930" t="s">
        <v>1033</v>
      </c>
      <c r="J930" t="s">
        <v>24</v>
      </c>
      <c r="K930" t="s">
        <v>60</v>
      </c>
      <c r="L930" s="1">
        <v>44682</v>
      </c>
      <c r="M930">
        <v>0.207362485370784</v>
      </c>
      <c r="N930">
        <v>9.4154570419772402E-4</v>
      </c>
    </row>
    <row r="931" spans="1:14" x14ac:dyDescent="0.25">
      <c r="A931" t="s">
        <v>1032</v>
      </c>
      <c r="B931">
        <v>7957</v>
      </c>
      <c r="C931">
        <v>965</v>
      </c>
      <c r="D931">
        <v>4</v>
      </c>
      <c r="E931" t="s">
        <v>40</v>
      </c>
      <c r="F931" t="s">
        <v>52</v>
      </c>
      <c r="G931" t="s">
        <v>42</v>
      </c>
      <c r="H931" s="1">
        <v>44697</v>
      </c>
      <c r="I931" t="s">
        <v>1033</v>
      </c>
      <c r="J931" t="s">
        <v>24</v>
      </c>
      <c r="K931" t="s">
        <v>60</v>
      </c>
      <c r="L931" s="1">
        <v>44682</v>
      </c>
      <c r="M931">
        <v>0.121276863139374</v>
      </c>
      <c r="N931">
        <v>3.1384856806590799E-4</v>
      </c>
    </row>
    <row r="932" spans="1:14" x14ac:dyDescent="0.25">
      <c r="A932" t="s">
        <v>1034</v>
      </c>
      <c r="B932">
        <v>1638</v>
      </c>
      <c r="C932">
        <v>661</v>
      </c>
      <c r="D932">
        <v>13</v>
      </c>
      <c r="E932" t="s">
        <v>40</v>
      </c>
      <c r="F932" t="s">
        <v>44</v>
      </c>
      <c r="G932" t="s">
        <v>36</v>
      </c>
      <c r="H932" s="1">
        <v>45255</v>
      </c>
      <c r="I932" t="s">
        <v>1035</v>
      </c>
      <c r="J932" t="s">
        <v>21</v>
      </c>
      <c r="K932" t="s">
        <v>55</v>
      </c>
      <c r="L932" s="1">
        <v>45231</v>
      </c>
      <c r="M932">
        <v>0.40354090354090399</v>
      </c>
      <c r="N932">
        <v>1.0200078462141999E-3</v>
      </c>
    </row>
    <row r="933" spans="1:14" x14ac:dyDescent="0.25">
      <c r="A933" t="s">
        <v>1036</v>
      </c>
      <c r="B933">
        <v>1786</v>
      </c>
      <c r="C933">
        <v>224</v>
      </c>
      <c r="D933">
        <v>4</v>
      </c>
      <c r="E933" t="s">
        <v>40</v>
      </c>
      <c r="F933" t="s">
        <v>41</v>
      </c>
      <c r="G933" t="s">
        <v>57</v>
      </c>
      <c r="H933" s="1">
        <v>44425</v>
      </c>
      <c r="I933" t="s">
        <v>1037</v>
      </c>
      <c r="J933" t="s">
        <v>63</v>
      </c>
      <c r="K933" t="s">
        <v>64</v>
      </c>
      <c r="L933" s="1">
        <v>44409</v>
      </c>
      <c r="M933">
        <v>0.12541993281075001</v>
      </c>
      <c r="N933">
        <v>3.1384856806590799E-4</v>
      </c>
    </row>
    <row r="934" spans="1:14" x14ac:dyDescent="0.25">
      <c r="A934" t="s">
        <v>1038</v>
      </c>
      <c r="B934">
        <v>4751</v>
      </c>
      <c r="C934">
        <v>781</v>
      </c>
      <c r="D934">
        <v>9</v>
      </c>
      <c r="E934" t="s">
        <v>28</v>
      </c>
      <c r="F934" t="s">
        <v>56</v>
      </c>
      <c r="G934" t="s">
        <v>36</v>
      </c>
      <c r="H934" s="1">
        <v>45109</v>
      </c>
      <c r="I934" t="s">
        <v>1039</v>
      </c>
      <c r="J934" t="s">
        <v>24</v>
      </c>
      <c r="K934" t="s">
        <v>25</v>
      </c>
      <c r="L934" s="1">
        <v>45108</v>
      </c>
      <c r="M934">
        <v>0.16438644495895599</v>
      </c>
      <c r="N934">
        <v>7.0615927814829404E-4</v>
      </c>
    </row>
    <row r="935" spans="1:14" x14ac:dyDescent="0.25">
      <c r="A935" t="s">
        <v>1040</v>
      </c>
      <c r="B935">
        <v>8979</v>
      </c>
      <c r="C935">
        <v>4477</v>
      </c>
      <c r="D935">
        <v>4</v>
      </c>
      <c r="E935" t="s">
        <v>28</v>
      </c>
      <c r="F935" t="s">
        <v>56</v>
      </c>
      <c r="G935" t="s">
        <v>42</v>
      </c>
      <c r="H935" s="1">
        <v>44067</v>
      </c>
      <c r="I935" t="s">
        <v>1041</v>
      </c>
      <c r="J935" t="s">
        <v>21</v>
      </c>
      <c r="K935" t="s">
        <v>22</v>
      </c>
      <c r="L935" s="1">
        <v>44044</v>
      </c>
      <c r="M935">
        <v>0.49860786279095698</v>
      </c>
      <c r="N935">
        <v>3.1384856806590799E-4</v>
      </c>
    </row>
    <row r="936" spans="1:14" x14ac:dyDescent="0.25">
      <c r="A936" t="s">
        <v>1042</v>
      </c>
      <c r="B936">
        <v>2727</v>
      </c>
      <c r="C936">
        <v>663</v>
      </c>
      <c r="D936">
        <v>8</v>
      </c>
      <c r="E936" t="s">
        <v>14</v>
      </c>
      <c r="F936" t="s">
        <v>71</v>
      </c>
      <c r="G936" t="s">
        <v>42</v>
      </c>
      <c r="H936" s="1">
        <v>44872</v>
      </c>
      <c r="I936" t="s">
        <v>1043</v>
      </c>
      <c r="J936" t="s">
        <v>18</v>
      </c>
      <c r="K936" t="s">
        <v>19</v>
      </c>
      <c r="L936" s="1">
        <v>44866</v>
      </c>
      <c r="M936">
        <v>0.24312431243124299</v>
      </c>
      <c r="N936">
        <v>6.2769713613181597E-4</v>
      </c>
    </row>
    <row r="937" spans="1:14" x14ac:dyDescent="0.25">
      <c r="A937" t="s">
        <v>1044</v>
      </c>
      <c r="B937">
        <v>1093</v>
      </c>
      <c r="C937">
        <v>397</v>
      </c>
      <c r="D937">
        <v>17</v>
      </c>
      <c r="E937" t="s">
        <v>14</v>
      </c>
      <c r="F937" t="s">
        <v>26</v>
      </c>
      <c r="G937" t="s">
        <v>42</v>
      </c>
      <c r="H937" s="1">
        <v>45378</v>
      </c>
      <c r="I937" t="s">
        <v>1045</v>
      </c>
      <c r="J937" t="s">
        <v>21</v>
      </c>
      <c r="K937" t="s">
        <v>138</v>
      </c>
      <c r="L937" s="1">
        <v>45352</v>
      </c>
      <c r="M937">
        <v>0.363220494053065</v>
      </c>
      <c r="N937">
        <v>1.33385641428011E-3</v>
      </c>
    </row>
    <row r="938" spans="1:14" x14ac:dyDescent="0.25">
      <c r="A938" t="s">
        <v>1044</v>
      </c>
      <c r="B938">
        <v>1093</v>
      </c>
      <c r="C938">
        <v>397</v>
      </c>
      <c r="D938">
        <v>17</v>
      </c>
      <c r="E938" t="s">
        <v>14</v>
      </c>
      <c r="F938" t="s">
        <v>26</v>
      </c>
      <c r="G938" t="s">
        <v>42</v>
      </c>
      <c r="H938" s="1">
        <v>45536</v>
      </c>
      <c r="I938" t="s">
        <v>1046</v>
      </c>
      <c r="J938" t="s">
        <v>24</v>
      </c>
      <c r="K938" t="s">
        <v>25</v>
      </c>
      <c r="L938" s="1">
        <v>45536</v>
      </c>
      <c r="M938">
        <v>0.363220494053065</v>
      </c>
      <c r="N938">
        <v>1.33385641428011E-3</v>
      </c>
    </row>
    <row r="939" spans="1:14" x14ac:dyDescent="0.25">
      <c r="A939" t="s">
        <v>1044</v>
      </c>
      <c r="B939">
        <v>1093</v>
      </c>
      <c r="C939">
        <v>397</v>
      </c>
      <c r="D939">
        <v>17</v>
      </c>
      <c r="E939" t="s">
        <v>14</v>
      </c>
      <c r="F939" t="s">
        <v>26</v>
      </c>
      <c r="G939" t="s">
        <v>42</v>
      </c>
      <c r="H939" s="1">
        <v>44614</v>
      </c>
      <c r="I939" t="s">
        <v>1047</v>
      </c>
      <c r="J939" t="s">
        <v>83</v>
      </c>
      <c r="K939" t="s">
        <v>84</v>
      </c>
      <c r="L939" s="1">
        <v>44593</v>
      </c>
      <c r="M939">
        <v>0.363220494053065</v>
      </c>
      <c r="N939">
        <v>1.33385641428011E-3</v>
      </c>
    </row>
    <row r="940" spans="1:14" x14ac:dyDescent="0.25">
      <c r="A940" t="s">
        <v>1044</v>
      </c>
      <c r="B940">
        <v>2636</v>
      </c>
      <c r="C940">
        <v>88</v>
      </c>
      <c r="D940">
        <v>11</v>
      </c>
      <c r="E940" t="s">
        <v>28</v>
      </c>
      <c r="F940" t="s">
        <v>56</v>
      </c>
      <c r="G940" t="s">
        <v>30</v>
      </c>
      <c r="H940" s="1">
        <v>45378</v>
      </c>
      <c r="I940" t="s">
        <v>1045</v>
      </c>
      <c r="J940" t="s">
        <v>21</v>
      </c>
      <c r="K940" t="s">
        <v>138</v>
      </c>
      <c r="L940" s="1">
        <v>45352</v>
      </c>
      <c r="M940">
        <v>3.33839150227618E-2</v>
      </c>
      <c r="N940">
        <v>8.6308356218124801E-4</v>
      </c>
    </row>
    <row r="941" spans="1:14" x14ac:dyDescent="0.25">
      <c r="A941" t="s">
        <v>1044</v>
      </c>
      <c r="B941">
        <v>2636</v>
      </c>
      <c r="C941">
        <v>88</v>
      </c>
      <c r="D941">
        <v>11</v>
      </c>
      <c r="E941" t="s">
        <v>28</v>
      </c>
      <c r="F941" t="s">
        <v>56</v>
      </c>
      <c r="G941" t="s">
        <v>30</v>
      </c>
      <c r="H941" s="1">
        <v>45536</v>
      </c>
      <c r="I941" t="s">
        <v>1046</v>
      </c>
      <c r="J941" t="s">
        <v>24</v>
      </c>
      <c r="K941" t="s">
        <v>25</v>
      </c>
      <c r="L941" s="1">
        <v>45536</v>
      </c>
      <c r="M941">
        <v>3.33839150227618E-2</v>
      </c>
      <c r="N941">
        <v>8.6308356218124801E-4</v>
      </c>
    </row>
    <row r="942" spans="1:14" x14ac:dyDescent="0.25">
      <c r="A942" t="s">
        <v>1044</v>
      </c>
      <c r="B942">
        <v>2636</v>
      </c>
      <c r="C942">
        <v>88</v>
      </c>
      <c r="D942">
        <v>11</v>
      </c>
      <c r="E942" t="s">
        <v>28</v>
      </c>
      <c r="F942" t="s">
        <v>56</v>
      </c>
      <c r="G942" t="s">
        <v>30</v>
      </c>
      <c r="H942" s="1">
        <v>44614</v>
      </c>
      <c r="I942" t="s">
        <v>1047</v>
      </c>
      <c r="J942" t="s">
        <v>83</v>
      </c>
      <c r="K942" t="s">
        <v>84</v>
      </c>
      <c r="L942" s="1">
        <v>44593</v>
      </c>
      <c r="M942">
        <v>3.33839150227618E-2</v>
      </c>
      <c r="N942">
        <v>8.6308356218124801E-4</v>
      </c>
    </row>
    <row r="943" spans="1:14" x14ac:dyDescent="0.25">
      <c r="A943" t="s">
        <v>1048</v>
      </c>
      <c r="B943">
        <v>7344</v>
      </c>
      <c r="C943">
        <v>2251</v>
      </c>
      <c r="D943">
        <v>7</v>
      </c>
      <c r="E943" t="s">
        <v>14</v>
      </c>
      <c r="F943" t="s">
        <v>15</v>
      </c>
      <c r="G943" t="s">
        <v>30</v>
      </c>
      <c r="H943" s="1">
        <v>44603</v>
      </c>
      <c r="I943" t="s">
        <v>1049</v>
      </c>
      <c r="J943" t="s">
        <v>18</v>
      </c>
      <c r="K943" t="s">
        <v>19</v>
      </c>
      <c r="L943" s="1">
        <v>44593</v>
      </c>
      <c r="M943">
        <v>0.30650871459695</v>
      </c>
      <c r="N943">
        <v>5.4923499411533899E-4</v>
      </c>
    </row>
    <row r="944" spans="1:14" x14ac:dyDescent="0.25">
      <c r="A944" t="s">
        <v>1048</v>
      </c>
      <c r="B944">
        <v>7306</v>
      </c>
      <c r="C944">
        <v>1547</v>
      </c>
      <c r="D944">
        <v>3</v>
      </c>
      <c r="E944" t="s">
        <v>28</v>
      </c>
      <c r="F944" t="s">
        <v>56</v>
      </c>
      <c r="G944" t="s">
        <v>57</v>
      </c>
      <c r="H944" s="1">
        <v>44603</v>
      </c>
      <c r="I944" t="s">
        <v>1049</v>
      </c>
      <c r="J944" t="s">
        <v>18</v>
      </c>
      <c r="K944" t="s">
        <v>19</v>
      </c>
      <c r="L944" s="1">
        <v>44593</v>
      </c>
      <c r="M944">
        <v>0.21174377224199301</v>
      </c>
      <c r="N944">
        <v>2.35386426049431E-4</v>
      </c>
    </row>
    <row r="945" spans="1:14" x14ac:dyDescent="0.25">
      <c r="A945" t="s">
        <v>1048</v>
      </c>
      <c r="B945">
        <v>5832</v>
      </c>
      <c r="C945">
        <v>2588</v>
      </c>
      <c r="D945">
        <v>10</v>
      </c>
      <c r="E945" t="s">
        <v>14</v>
      </c>
      <c r="F945" t="s">
        <v>26</v>
      </c>
      <c r="G945" t="s">
        <v>57</v>
      </c>
      <c r="H945" s="1">
        <v>44603</v>
      </c>
      <c r="I945" t="s">
        <v>1049</v>
      </c>
      <c r="J945" t="s">
        <v>18</v>
      </c>
      <c r="K945" t="s">
        <v>19</v>
      </c>
      <c r="L945" s="1">
        <v>44593</v>
      </c>
      <c r="M945">
        <v>0.44375857338820301</v>
      </c>
      <c r="N945">
        <v>7.8462142016477005E-4</v>
      </c>
    </row>
    <row r="946" spans="1:14" x14ac:dyDescent="0.25">
      <c r="A946" t="s">
        <v>1050</v>
      </c>
      <c r="B946">
        <v>8572</v>
      </c>
      <c r="C946">
        <v>2041</v>
      </c>
      <c r="D946">
        <v>8</v>
      </c>
      <c r="E946" t="s">
        <v>40</v>
      </c>
      <c r="F946" t="s">
        <v>41</v>
      </c>
      <c r="G946" t="s">
        <v>36</v>
      </c>
      <c r="H946" s="1">
        <v>44343</v>
      </c>
      <c r="I946" t="s">
        <v>1051</v>
      </c>
      <c r="J946" t="s">
        <v>21</v>
      </c>
      <c r="K946" t="s">
        <v>55</v>
      </c>
      <c r="L946" s="1">
        <v>44317</v>
      </c>
      <c r="M946">
        <v>0.238100793280448</v>
      </c>
      <c r="N946">
        <v>6.2769713613181597E-4</v>
      </c>
    </row>
    <row r="947" spans="1:14" x14ac:dyDescent="0.25">
      <c r="A947" t="s">
        <v>1050</v>
      </c>
      <c r="B947">
        <v>8572</v>
      </c>
      <c r="C947">
        <v>2041</v>
      </c>
      <c r="D947">
        <v>8</v>
      </c>
      <c r="E947" t="s">
        <v>40</v>
      </c>
      <c r="F947" t="s">
        <v>41</v>
      </c>
      <c r="G947" t="s">
        <v>36</v>
      </c>
      <c r="H947" s="1">
        <v>45112</v>
      </c>
      <c r="I947" t="s">
        <v>1052</v>
      </c>
      <c r="J947" t="s">
        <v>21</v>
      </c>
      <c r="K947" t="s">
        <v>55</v>
      </c>
      <c r="L947" s="1">
        <v>45108</v>
      </c>
      <c r="M947">
        <v>0.238100793280448</v>
      </c>
      <c r="N947">
        <v>6.2769713613181597E-4</v>
      </c>
    </row>
    <row r="948" spans="1:14" x14ac:dyDescent="0.25">
      <c r="A948" t="s">
        <v>1050</v>
      </c>
      <c r="B948">
        <v>8572</v>
      </c>
      <c r="C948">
        <v>2041</v>
      </c>
      <c r="D948">
        <v>8</v>
      </c>
      <c r="E948" t="s">
        <v>40</v>
      </c>
      <c r="F948" t="s">
        <v>41</v>
      </c>
      <c r="G948" t="s">
        <v>36</v>
      </c>
      <c r="H948" s="1">
        <v>44131</v>
      </c>
      <c r="I948" t="s">
        <v>1053</v>
      </c>
      <c r="J948" t="s">
        <v>38</v>
      </c>
      <c r="K948" t="s">
        <v>66</v>
      </c>
      <c r="L948" s="1">
        <v>44105</v>
      </c>
      <c r="M948">
        <v>0.238100793280448</v>
      </c>
      <c r="N948">
        <v>6.2769713613181597E-4</v>
      </c>
    </row>
    <row r="949" spans="1:14" x14ac:dyDescent="0.25">
      <c r="A949" t="s">
        <v>1050</v>
      </c>
      <c r="B949">
        <v>8059</v>
      </c>
      <c r="C949">
        <v>1834</v>
      </c>
      <c r="D949">
        <v>10</v>
      </c>
      <c r="E949" t="s">
        <v>14</v>
      </c>
      <c r="F949" t="s">
        <v>26</v>
      </c>
      <c r="G949" t="s">
        <v>42</v>
      </c>
      <c r="H949" s="1">
        <v>44343</v>
      </c>
      <c r="I949" t="s">
        <v>1051</v>
      </c>
      <c r="J949" t="s">
        <v>21</v>
      </c>
      <c r="K949" t="s">
        <v>55</v>
      </c>
      <c r="L949" s="1">
        <v>44317</v>
      </c>
      <c r="M949">
        <v>0.227571659014766</v>
      </c>
      <c r="N949">
        <v>7.8462142016477005E-4</v>
      </c>
    </row>
    <row r="950" spans="1:14" x14ac:dyDescent="0.25">
      <c r="A950" t="s">
        <v>1050</v>
      </c>
      <c r="B950">
        <v>8059</v>
      </c>
      <c r="C950">
        <v>1834</v>
      </c>
      <c r="D950">
        <v>10</v>
      </c>
      <c r="E950" t="s">
        <v>14</v>
      </c>
      <c r="F950" t="s">
        <v>26</v>
      </c>
      <c r="G950" t="s">
        <v>42</v>
      </c>
      <c r="H950" s="1">
        <v>45112</v>
      </c>
      <c r="I950" t="s">
        <v>1052</v>
      </c>
      <c r="J950" t="s">
        <v>21</v>
      </c>
      <c r="K950" t="s">
        <v>55</v>
      </c>
      <c r="L950" s="1">
        <v>45108</v>
      </c>
      <c r="M950">
        <v>0.227571659014766</v>
      </c>
      <c r="N950">
        <v>7.8462142016477005E-4</v>
      </c>
    </row>
    <row r="951" spans="1:14" x14ac:dyDescent="0.25">
      <c r="A951" t="s">
        <v>1050</v>
      </c>
      <c r="B951">
        <v>8059</v>
      </c>
      <c r="C951">
        <v>1834</v>
      </c>
      <c r="D951">
        <v>10</v>
      </c>
      <c r="E951" t="s">
        <v>14</v>
      </c>
      <c r="F951" t="s">
        <v>26</v>
      </c>
      <c r="G951" t="s">
        <v>42</v>
      </c>
      <c r="H951" s="1">
        <v>44131</v>
      </c>
      <c r="I951" t="s">
        <v>1053</v>
      </c>
      <c r="J951" t="s">
        <v>38</v>
      </c>
      <c r="K951" t="s">
        <v>66</v>
      </c>
      <c r="L951" s="1">
        <v>44105</v>
      </c>
      <c r="M951">
        <v>0.227571659014766</v>
      </c>
      <c r="N951">
        <v>7.8462142016477005E-4</v>
      </c>
    </row>
    <row r="952" spans="1:14" x14ac:dyDescent="0.25">
      <c r="A952" t="s">
        <v>1054</v>
      </c>
      <c r="B952">
        <v>3661</v>
      </c>
      <c r="C952">
        <v>436</v>
      </c>
      <c r="D952">
        <v>13</v>
      </c>
      <c r="E952" t="s">
        <v>40</v>
      </c>
      <c r="F952" t="s">
        <v>52</v>
      </c>
      <c r="G952" t="s">
        <v>36</v>
      </c>
      <c r="H952" s="1">
        <v>44952</v>
      </c>
      <c r="I952" t="s">
        <v>1055</v>
      </c>
      <c r="J952" t="s">
        <v>63</v>
      </c>
      <c r="K952" t="s">
        <v>75</v>
      </c>
      <c r="L952" s="1">
        <v>44927</v>
      </c>
      <c r="M952">
        <v>0.11909314394973999</v>
      </c>
      <c r="N952">
        <v>1.0200078462141999E-3</v>
      </c>
    </row>
    <row r="953" spans="1:14" x14ac:dyDescent="0.25">
      <c r="A953" t="s">
        <v>1056</v>
      </c>
      <c r="B953">
        <v>2451</v>
      </c>
      <c r="C953">
        <v>342</v>
      </c>
      <c r="D953">
        <v>8</v>
      </c>
      <c r="E953" t="s">
        <v>28</v>
      </c>
      <c r="F953" t="s">
        <v>56</v>
      </c>
      <c r="G953" t="s">
        <v>36</v>
      </c>
      <c r="H953" s="1">
        <v>44445</v>
      </c>
      <c r="I953" t="s">
        <v>1057</v>
      </c>
      <c r="J953" t="s">
        <v>38</v>
      </c>
      <c r="K953" t="s">
        <v>39</v>
      </c>
      <c r="L953" s="1">
        <v>44440</v>
      </c>
      <c r="M953">
        <v>0.13953488372093001</v>
      </c>
      <c r="N953">
        <v>6.2769713613181597E-4</v>
      </c>
    </row>
    <row r="954" spans="1:14" x14ac:dyDescent="0.25">
      <c r="A954" t="s">
        <v>1056</v>
      </c>
      <c r="B954">
        <v>2451</v>
      </c>
      <c r="C954">
        <v>342</v>
      </c>
      <c r="D954">
        <v>8</v>
      </c>
      <c r="E954" t="s">
        <v>28</v>
      </c>
      <c r="F954" t="s">
        <v>56</v>
      </c>
      <c r="G954" t="s">
        <v>36</v>
      </c>
      <c r="H954" s="1">
        <v>44512</v>
      </c>
      <c r="I954" t="s">
        <v>1058</v>
      </c>
      <c r="J954" t="s">
        <v>83</v>
      </c>
      <c r="K954" t="s">
        <v>90</v>
      </c>
      <c r="L954" s="1">
        <v>44501</v>
      </c>
      <c r="M954">
        <v>0.13953488372093001</v>
      </c>
      <c r="N954">
        <v>6.2769713613181597E-4</v>
      </c>
    </row>
    <row r="955" spans="1:14" x14ac:dyDescent="0.25">
      <c r="A955" t="s">
        <v>1056</v>
      </c>
      <c r="B955">
        <v>2451</v>
      </c>
      <c r="C955">
        <v>342</v>
      </c>
      <c r="D955">
        <v>8</v>
      </c>
      <c r="E955" t="s">
        <v>28</v>
      </c>
      <c r="F955" t="s">
        <v>56</v>
      </c>
      <c r="G955" t="s">
        <v>36</v>
      </c>
      <c r="H955" s="1">
        <v>45503</v>
      </c>
      <c r="I955" t="s">
        <v>1059</v>
      </c>
      <c r="J955" t="s">
        <v>63</v>
      </c>
      <c r="K955" t="s">
        <v>112</v>
      </c>
      <c r="L955" s="1">
        <v>45474</v>
      </c>
      <c r="M955">
        <v>0.13953488372093001</v>
      </c>
      <c r="N955">
        <v>6.2769713613181597E-4</v>
      </c>
    </row>
    <row r="956" spans="1:14" x14ac:dyDescent="0.25">
      <c r="A956" t="s">
        <v>1060</v>
      </c>
      <c r="B956">
        <v>7067</v>
      </c>
      <c r="C956">
        <v>1943</v>
      </c>
      <c r="D956">
        <v>16</v>
      </c>
      <c r="E956" t="s">
        <v>40</v>
      </c>
      <c r="F956" t="s">
        <v>41</v>
      </c>
      <c r="G956" t="s">
        <v>42</v>
      </c>
      <c r="H956" s="1">
        <v>44635</v>
      </c>
      <c r="I956" t="s">
        <v>1061</v>
      </c>
      <c r="J956" t="s">
        <v>38</v>
      </c>
      <c r="K956" t="s">
        <v>79</v>
      </c>
      <c r="L956" s="1">
        <v>44621</v>
      </c>
      <c r="M956">
        <v>0.27493986132729598</v>
      </c>
      <c r="N956">
        <v>1.25539427226363E-3</v>
      </c>
    </row>
    <row r="957" spans="1:14" x14ac:dyDescent="0.25">
      <c r="A957" t="s">
        <v>1062</v>
      </c>
      <c r="B957">
        <v>4307</v>
      </c>
      <c r="C957">
        <v>615</v>
      </c>
      <c r="D957">
        <v>3</v>
      </c>
      <c r="E957" t="s">
        <v>14</v>
      </c>
      <c r="F957" t="s">
        <v>15</v>
      </c>
      <c r="G957" t="s">
        <v>16</v>
      </c>
      <c r="H957" s="1">
        <v>45366</v>
      </c>
      <c r="I957" t="s">
        <v>1063</v>
      </c>
      <c r="J957" t="s">
        <v>24</v>
      </c>
      <c r="K957" t="s">
        <v>46</v>
      </c>
      <c r="L957" s="1">
        <v>45352</v>
      </c>
      <c r="M957">
        <v>0.142790805665196</v>
      </c>
      <c r="N957">
        <v>2.35386426049431E-4</v>
      </c>
    </row>
    <row r="958" spans="1:14" x14ac:dyDescent="0.25">
      <c r="A958" t="s">
        <v>1062</v>
      </c>
      <c r="B958">
        <v>4307</v>
      </c>
      <c r="C958">
        <v>615</v>
      </c>
      <c r="D958">
        <v>3</v>
      </c>
      <c r="E958" t="s">
        <v>14</v>
      </c>
      <c r="F958" t="s">
        <v>15</v>
      </c>
      <c r="G958" t="s">
        <v>16</v>
      </c>
      <c r="H958" s="1">
        <v>44145</v>
      </c>
      <c r="I958" t="s">
        <v>1064</v>
      </c>
      <c r="J958" t="s">
        <v>21</v>
      </c>
      <c r="K958" t="s">
        <v>55</v>
      </c>
      <c r="L958" s="1">
        <v>44136</v>
      </c>
      <c r="M958">
        <v>0.142790805665196</v>
      </c>
      <c r="N958">
        <v>2.35386426049431E-4</v>
      </c>
    </row>
    <row r="959" spans="1:14" x14ac:dyDescent="0.25">
      <c r="A959" t="s">
        <v>1062</v>
      </c>
      <c r="B959">
        <v>5694</v>
      </c>
      <c r="C959">
        <v>1134</v>
      </c>
      <c r="D959">
        <v>5</v>
      </c>
      <c r="E959" t="s">
        <v>40</v>
      </c>
      <c r="F959" t="s">
        <v>44</v>
      </c>
      <c r="G959" t="s">
        <v>36</v>
      </c>
      <c r="H959" s="1">
        <v>45366</v>
      </c>
      <c r="I959" t="s">
        <v>1063</v>
      </c>
      <c r="J959" t="s">
        <v>24</v>
      </c>
      <c r="K959" t="s">
        <v>46</v>
      </c>
      <c r="L959" s="1">
        <v>45352</v>
      </c>
      <c r="M959">
        <v>0.199157007376185</v>
      </c>
      <c r="N959">
        <v>3.9231071008238503E-4</v>
      </c>
    </row>
    <row r="960" spans="1:14" x14ac:dyDescent="0.25">
      <c r="A960" t="s">
        <v>1062</v>
      </c>
      <c r="B960">
        <v>5694</v>
      </c>
      <c r="C960">
        <v>1134</v>
      </c>
      <c r="D960">
        <v>5</v>
      </c>
      <c r="E960" t="s">
        <v>40</v>
      </c>
      <c r="F960" t="s">
        <v>44</v>
      </c>
      <c r="G960" t="s">
        <v>36</v>
      </c>
      <c r="H960" s="1">
        <v>44145</v>
      </c>
      <c r="I960" t="s">
        <v>1064</v>
      </c>
      <c r="J960" t="s">
        <v>21</v>
      </c>
      <c r="K960" t="s">
        <v>55</v>
      </c>
      <c r="L960" s="1">
        <v>44136</v>
      </c>
      <c r="M960">
        <v>0.199157007376185</v>
      </c>
      <c r="N960">
        <v>3.9231071008238503E-4</v>
      </c>
    </row>
    <row r="961" spans="1:14" x14ac:dyDescent="0.25">
      <c r="A961" t="s">
        <v>1065</v>
      </c>
      <c r="B961">
        <v>962</v>
      </c>
      <c r="C961">
        <v>298</v>
      </c>
      <c r="D961">
        <v>18</v>
      </c>
      <c r="E961" t="s">
        <v>28</v>
      </c>
      <c r="F961" t="s">
        <v>68</v>
      </c>
      <c r="G961" t="s">
        <v>42</v>
      </c>
      <c r="H961" s="1">
        <v>44765</v>
      </c>
      <c r="I961" t="s">
        <v>1066</v>
      </c>
      <c r="J961" t="s">
        <v>21</v>
      </c>
      <c r="K961" t="s">
        <v>55</v>
      </c>
      <c r="L961" s="1">
        <v>44743</v>
      </c>
      <c r="M961">
        <v>0.30977130977131001</v>
      </c>
      <c r="N961">
        <v>1.41231855629659E-3</v>
      </c>
    </row>
    <row r="962" spans="1:14" x14ac:dyDescent="0.25">
      <c r="A962" t="s">
        <v>1067</v>
      </c>
      <c r="B962">
        <v>2995</v>
      </c>
      <c r="C962">
        <v>220</v>
      </c>
      <c r="D962">
        <v>14</v>
      </c>
      <c r="E962" t="s">
        <v>40</v>
      </c>
      <c r="F962" t="s">
        <v>91</v>
      </c>
      <c r="G962" t="s">
        <v>42</v>
      </c>
      <c r="H962" s="1">
        <v>45548</v>
      </c>
      <c r="I962" t="s">
        <v>1068</v>
      </c>
      <c r="J962" t="s">
        <v>24</v>
      </c>
      <c r="K962" t="s">
        <v>25</v>
      </c>
      <c r="L962" s="1">
        <v>45536</v>
      </c>
      <c r="M962">
        <v>7.3455759599332204E-2</v>
      </c>
      <c r="N962">
        <v>1.0984699882306799E-3</v>
      </c>
    </row>
    <row r="963" spans="1:14" x14ac:dyDescent="0.25">
      <c r="A963" t="s">
        <v>1067</v>
      </c>
      <c r="B963">
        <v>2047</v>
      </c>
      <c r="C963">
        <v>914</v>
      </c>
      <c r="D963">
        <v>5</v>
      </c>
      <c r="E963" t="s">
        <v>28</v>
      </c>
      <c r="F963" t="s">
        <v>50</v>
      </c>
      <c r="G963" t="s">
        <v>30</v>
      </c>
      <c r="H963" s="1">
        <v>45548</v>
      </c>
      <c r="I963" t="s">
        <v>1068</v>
      </c>
      <c r="J963" t="s">
        <v>24</v>
      </c>
      <c r="K963" t="s">
        <v>25</v>
      </c>
      <c r="L963" s="1">
        <v>45536</v>
      </c>
      <c r="M963">
        <v>0.44650708353688301</v>
      </c>
      <c r="N963">
        <v>3.9231071008238503E-4</v>
      </c>
    </row>
    <row r="964" spans="1:14" x14ac:dyDescent="0.25">
      <c r="A964" t="s">
        <v>1069</v>
      </c>
      <c r="B964">
        <v>2078</v>
      </c>
      <c r="C964">
        <v>612</v>
      </c>
      <c r="D964">
        <v>6</v>
      </c>
      <c r="E964" t="s">
        <v>14</v>
      </c>
      <c r="F964" t="s">
        <v>35</v>
      </c>
      <c r="G964" t="s">
        <v>57</v>
      </c>
      <c r="H964" s="1">
        <v>44586</v>
      </c>
      <c r="I964" t="s">
        <v>1070</v>
      </c>
      <c r="J964" t="s">
        <v>63</v>
      </c>
      <c r="K964" t="s">
        <v>75</v>
      </c>
      <c r="L964" s="1">
        <v>44562</v>
      </c>
      <c r="M964">
        <v>0.29451395572666</v>
      </c>
      <c r="N964">
        <v>4.7077285209886201E-4</v>
      </c>
    </row>
    <row r="965" spans="1:14" x14ac:dyDescent="0.25">
      <c r="A965" t="s">
        <v>1071</v>
      </c>
      <c r="B965">
        <v>2737</v>
      </c>
      <c r="C965">
        <v>1253</v>
      </c>
      <c r="D965">
        <v>3</v>
      </c>
      <c r="E965" t="s">
        <v>14</v>
      </c>
      <c r="F965" t="s">
        <v>26</v>
      </c>
      <c r="G965" t="s">
        <v>36</v>
      </c>
      <c r="H965" s="1">
        <v>44305</v>
      </c>
      <c r="I965" t="s">
        <v>1072</v>
      </c>
      <c r="J965" t="s">
        <v>24</v>
      </c>
      <c r="K965" t="s">
        <v>46</v>
      </c>
      <c r="L965" s="1">
        <v>44287</v>
      </c>
      <c r="M965">
        <v>0.45780051150895101</v>
      </c>
      <c r="N965">
        <v>2.35386426049431E-4</v>
      </c>
    </row>
    <row r="966" spans="1:14" x14ac:dyDescent="0.25">
      <c r="A966" t="s">
        <v>1073</v>
      </c>
      <c r="B966">
        <v>8194</v>
      </c>
      <c r="C966">
        <v>2881</v>
      </c>
      <c r="D966">
        <v>6</v>
      </c>
      <c r="E966" t="s">
        <v>28</v>
      </c>
      <c r="F966" t="s">
        <v>56</v>
      </c>
      <c r="G966" t="s">
        <v>30</v>
      </c>
      <c r="H966" s="1">
        <v>44395</v>
      </c>
      <c r="I966" t="s">
        <v>1074</v>
      </c>
      <c r="J966" t="s">
        <v>63</v>
      </c>
      <c r="K966" t="s">
        <v>112</v>
      </c>
      <c r="L966" s="1">
        <v>44378</v>
      </c>
      <c r="M966">
        <v>0.35159873077861797</v>
      </c>
      <c r="N966">
        <v>4.7077285209886201E-4</v>
      </c>
    </row>
    <row r="967" spans="1:14" x14ac:dyDescent="0.25">
      <c r="A967" t="s">
        <v>1075</v>
      </c>
      <c r="B967">
        <v>9914</v>
      </c>
      <c r="C967">
        <v>3858</v>
      </c>
      <c r="D967">
        <v>16</v>
      </c>
      <c r="E967" t="s">
        <v>40</v>
      </c>
      <c r="F967" t="s">
        <v>52</v>
      </c>
      <c r="G967" t="s">
        <v>42</v>
      </c>
      <c r="H967" s="1">
        <v>44736</v>
      </c>
      <c r="I967" t="s">
        <v>1076</v>
      </c>
      <c r="J967" t="s">
        <v>24</v>
      </c>
      <c r="K967" t="s">
        <v>25</v>
      </c>
      <c r="L967" s="1">
        <v>44713</v>
      </c>
      <c r="M967">
        <v>0.38914666128706898</v>
      </c>
      <c r="N967">
        <v>1.25539427226363E-3</v>
      </c>
    </row>
    <row r="968" spans="1:14" x14ac:dyDescent="0.25">
      <c r="A968" t="s">
        <v>1075</v>
      </c>
      <c r="B968">
        <v>9914</v>
      </c>
      <c r="C968">
        <v>3858</v>
      </c>
      <c r="D968">
        <v>16</v>
      </c>
      <c r="E968" t="s">
        <v>40</v>
      </c>
      <c r="F968" t="s">
        <v>52</v>
      </c>
      <c r="G968" t="s">
        <v>42</v>
      </c>
      <c r="H968" s="1">
        <v>45451</v>
      </c>
      <c r="I968" t="s">
        <v>1077</v>
      </c>
      <c r="J968" t="s">
        <v>24</v>
      </c>
      <c r="K968" t="s">
        <v>60</v>
      </c>
      <c r="L968" s="1">
        <v>45444</v>
      </c>
      <c r="M968">
        <v>0.38914666128706898</v>
      </c>
      <c r="N968">
        <v>1.25539427226363E-3</v>
      </c>
    </row>
    <row r="969" spans="1:14" x14ac:dyDescent="0.25">
      <c r="A969" t="s">
        <v>1075</v>
      </c>
      <c r="B969">
        <v>5470</v>
      </c>
      <c r="C969">
        <v>292</v>
      </c>
      <c r="D969">
        <v>7</v>
      </c>
      <c r="E969" t="s">
        <v>28</v>
      </c>
      <c r="F969" t="s">
        <v>29</v>
      </c>
      <c r="G969" t="s">
        <v>30</v>
      </c>
      <c r="H969" s="1">
        <v>44736</v>
      </c>
      <c r="I969" t="s">
        <v>1076</v>
      </c>
      <c r="J969" t="s">
        <v>24</v>
      </c>
      <c r="K969" t="s">
        <v>25</v>
      </c>
      <c r="L969" s="1">
        <v>44713</v>
      </c>
      <c r="M969">
        <v>5.3382084095064002E-2</v>
      </c>
      <c r="N969">
        <v>5.4923499411533899E-4</v>
      </c>
    </row>
    <row r="970" spans="1:14" x14ac:dyDescent="0.25">
      <c r="A970" t="s">
        <v>1075</v>
      </c>
      <c r="B970">
        <v>5470</v>
      </c>
      <c r="C970">
        <v>292</v>
      </c>
      <c r="D970">
        <v>7</v>
      </c>
      <c r="E970" t="s">
        <v>28</v>
      </c>
      <c r="F970" t="s">
        <v>29</v>
      </c>
      <c r="G970" t="s">
        <v>30</v>
      </c>
      <c r="H970" s="1">
        <v>45451</v>
      </c>
      <c r="I970" t="s">
        <v>1077</v>
      </c>
      <c r="J970" t="s">
        <v>24</v>
      </c>
      <c r="K970" t="s">
        <v>60</v>
      </c>
      <c r="L970" s="1">
        <v>45444</v>
      </c>
      <c r="M970">
        <v>5.3382084095064002E-2</v>
      </c>
      <c r="N970">
        <v>5.4923499411533899E-4</v>
      </c>
    </row>
    <row r="971" spans="1:14" x14ac:dyDescent="0.25">
      <c r="A971" t="s">
        <v>1075</v>
      </c>
      <c r="B971">
        <v>1496</v>
      </c>
      <c r="C971">
        <v>662</v>
      </c>
      <c r="D971">
        <v>17</v>
      </c>
      <c r="E971" t="s">
        <v>40</v>
      </c>
      <c r="F971" t="s">
        <v>91</v>
      </c>
      <c r="G971" t="s">
        <v>16</v>
      </c>
      <c r="H971" s="1">
        <v>44736</v>
      </c>
      <c r="I971" t="s">
        <v>1076</v>
      </c>
      <c r="J971" t="s">
        <v>24</v>
      </c>
      <c r="K971" t="s">
        <v>25</v>
      </c>
      <c r="L971" s="1">
        <v>44713</v>
      </c>
      <c r="M971">
        <v>0.44251336898395699</v>
      </c>
      <c r="N971">
        <v>1.33385641428011E-3</v>
      </c>
    </row>
    <row r="972" spans="1:14" x14ac:dyDescent="0.25">
      <c r="A972" t="s">
        <v>1075</v>
      </c>
      <c r="B972">
        <v>1496</v>
      </c>
      <c r="C972">
        <v>662</v>
      </c>
      <c r="D972">
        <v>17</v>
      </c>
      <c r="E972" t="s">
        <v>40</v>
      </c>
      <c r="F972" t="s">
        <v>91</v>
      </c>
      <c r="G972" t="s">
        <v>16</v>
      </c>
      <c r="H972" s="1">
        <v>45451</v>
      </c>
      <c r="I972" t="s">
        <v>1077</v>
      </c>
      <c r="J972" t="s">
        <v>24</v>
      </c>
      <c r="K972" t="s">
        <v>60</v>
      </c>
      <c r="L972" s="1">
        <v>45444</v>
      </c>
      <c r="M972">
        <v>0.44251336898395699</v>
      </c>
      <c r="N972">
        <v>1.33385641428011E-3</v>
      </c>
    </row>
    <row r="973" spans="1:14" x14ac:dyDescent="0.25">
      <c r="A973" t="s">
        <v>1078</v>
      </c>
      <c r="B973">
        <v>3228</v>
      </c>
      <c r="C973">
        <v>476</v>
      </c>
      <c r="D973">
        <v>9</v>
      </c>
      <c r="E973" t="s">
        <v>28</v>
      </c>
      <c r="F973" t="s">
        <v>56</v>
      </c>
      <c r="G973" t="s">
        <v>57</v>
      </c>
      <c r="H973" s="1">
        <v>44833</v>
      </c>
      <c r="I973" t="s">
        <v>1079</v>
      </c>
      <c r="J973" t="s">
        <v>24</v>
      </c>
      <c r="K973" t="s">
        <v>46</v>
      </c>
      <c r="L973" s="1">
        <v>44805</v>
      </c>
      <c r="M973">
        <v>0.14745972738537799</v>
      </c>
      <c r="N973">
        <v>7.0615927814829404E-4</v>
      </c>
    </row>
    <row r="974" spans="1:14" x14ac:dyDescent="0.25">
      <c r="A974" t="s">
        <v>1080</v>
      </c>
      <c r="B974">
        <v>3918</v>
      </c>
      <c r="C974">
        <v>749</v>
      </c>
      <c r="D974">
        <v>8</v>
      </c>
      <c r="E974" t="s">
        <v>14</v>
      </c>
      <c r="F974" t="s">
        <v>35</v>
      </c>
      <c r="G974" t="s">
        <v>42</v>
      </c>
      <c r="H974" s="1">
        <v>45056</v>
      </c>
      <c r="I974" t="s">
        <v>1081</v>
      </c>
      <c r="J974" t="s">
        <v>38</v>
      </c>
      <c r="K974" t="s">
        <v>66</v>
      </c>
      <c r="L974" s="1">
        <v>45047</v>
      </c>
      <c r="M974">
        <v>0.191168963757019</v>
      </c>
      <c r="N974">
        <v>6.2769713613181597E-4</v>
      </c>
    </row>
    <row r="975" spans="1:14" x14ac:dyDescent="0.25">
      <c r="A975" t="s">
        <v>1080</v>
      </c>
      <c r="B975">
        <v>3918</v>
      </c>
      <c r="C975">
        <v>749</v>
      </c>
      <c r="D975">
        <v>8</v>
      </c>
      <c r="E975" t="s">
        <v>14</v>
      </c>
      <c r="F975" t="s">
        <v>35</v>
      </c>
      <c r="G975" t="s">
        <v>42</v>
      </c>
      <c r="H975" s="1">
        <v>43953</v>
      </c>
      <c r="I975" t="s">
        <v>1082</v>
      </c>
      <c r="J975" t="s">
        <v>63</v>
      </c>
      <c r="K975" t="s">
        <v>112</v>
      </c>
      <c r="L975" s="1">
        <v>43952</v>
      </c>
      <c r="M975">
        <v>0.191168963757019</v>
      </c>
      <c r="N975">
        <v>6.2769713613181597E-4</v>
      </c>
    </row>
    <row r="976" spans="1:14" x14ac:dyDescent="0.25">
      <c r="A976" t="s">
        <v>1083</v>
      </c>
      <c r="B976">
        <v>9921</v>
      </c>
      <c r="C976">
        <v>1451</v>
      </c>
      <c r="D976">
        <v>15</v>
      </c>
      <c r="E976" t="s">
        <v>40</v>
      </c>
      <c r="F976" t="s">
        <v>52</v>
      </c>
      <c r="G976" t="s">
        <v>36</v>
      </c>
      <c r="H976" s="1">
        <v>44298</v>
      </c>
      <c r="I976" t="s">
        <v>1084</v>
      </c>
      <c r="J976" t="s">
        <v>21</v>
      </c>
      <c r="K976" t="s">
        <v>22</v>
      </c>
      <c r="L976" s="1">
        <v>44287</v>
      </c>
      <c r="M976">
        <v>0.14625541780062501</v>
      </c>
      <c r="N976">
        <v>1.17693213024716E-3</v>
      </c>
    </row>
    <row r="977" spans="1:14" x14ac:dyDescent="0.25">
      <c r="A977" t="s">
        <v>1085</v>
      </c>
      <c r="B977">
        <v>9694</v>
      </c>
      <c r="C977">
        <v>4361</v>
      </c>
      <c r="D977">
        <v>1</v>
      </c>
      <c r="E977" t="s">
        <v>40</v>
      </c>
      <c r="F977" t="s">
        <v>44</v>
      </c>
      <c r="G977" t="s">
        <v>36</v>
      </c>
      <c r="H977" s="1">
        <v>45234</v>
      </c>
      <c r="I977" t="s">
        <v>1086</v>
      </c>
      <c r="J977" t="s">
        <v>21</v>
      </c>
      <c r="K977" t="s">
        <v>55</v>
      </c>
      <c r="L977" s="1">
        <v>45231</v>
      </c>
      <c r="M977">
        <v>0.44986589643078201</v>
      </c>
      <c r="N977">
        <v>7.8462142016476997E-5</v>
      </c>
    </row>
    <row r="978" spans="1:14" x14ac:dyDescent="0.25">
      <c r="A978" t="s">
        <v>1087</v>
      </c>
      <c r="B978">
        <v>5028</v>
      </c>
      <c r="C978">
        <v>1553</v>
      </c>
      <c r="D978">
        <v>13</v>
      </c>
      <c r="E978" t="s">
        <v>28</v>
      </c>
      <c r="F978" t="s">
        <v>56</v>
      </c>
      <c r="G978" t="s">
        <v>36</v>
      </c>
      <c r="H978" s="1">
        <v>43955</v>
      </c>
      <c r="I978" t="s">
        <v>1088</v>
      </c>
      <c r="J978" t="s">
        <v>18</v>
      </c>
      <c r="K978" t="s">
        <v>122</v>
      </c>
      <c r="L978" s="1">
        <v>43952</v>
      </c>
      <c r="M978">
        <v>0.30887032617342902</v>
      </c>
      <c r="N978">
        <v>1.0200078462141999E-3</v>
      </c>
    </row>
    <row r="979" spans="1:14" x14ac:dyDescent="0.25">
      <c r="A979" t="s">
        <v>1089</v>
      </c>
      <c r="B979">
        <v>594</v>
      </c>
      <c r="C979">
        <v>67</v>
      </c>
      <c r="D979">
        <v>19</v>
      </c>
      <c r="E979" t="s">
        <v>28</v>
      </c>
      <c r="F979" t="s">
        <v>56</v>
      </c>
      <c r="G979" t="s">
        <v>30</v>
      </c>
      <c r="H979" s="1">
        <v>45179</v>
      </c>
      <c r="I979" t="s">
        <v>1090</v>
      </c>
      <c r="J979" t="s">
        <v>24</v>
      </c>
      <c r="K979" t="s">
        <v>25</v>
      </c>
      <c r="L979" s="1">
        <v>45170</v>
      </c>
      <c r="M979">
        <v>0.112794612794613</v>
      </c>
      <c r="N979">
        <v>1.4907806983130601E-3</v>
      </c>
    </row>
    <row r="980" spans="1:14" x14ac:dyDescent="0.25">
      <c r="A980" t="s">
        <v>1089</v>
      </c>
      <c r="B980">
        <v>594</v>
      </c>
      <c r="C980">
        <v>67</v>
      </c>
      <c r="D980">
        <v>19</v>
      </c>
      <c r="E980" t="s">
        <v>28</v>
      </c>
      <c r="F980" t="s">
        <v>56</v>
      </c>
      <c r="G980" t="s">
        <v>30</v>
      </c>
      <c r="H980" s="1">
        <v>45296</v>
      </c>
      <c r="I980" t="s">
        <v>1091</v>
      </c>
      <c r="J980" t="s">
        <v>18</v>
      </c>
      <c r="K980" t="s">
        <v>19</v>
      </c>
      <c r="L980" s="1">
        <v>45292</v>
      </c>
      <c r="M980">
        <v>0.112794612794613</v>
      </c>
      <c r="N980">
        <v>1.4907806983130601E-3</v>
      </c>
    </row>
    <row r="981" spans="1:14" x14ac:dyDescent="0.25">
      <c r="A981" t="s">
        <v>1089</v>
      </c>
      <c r="B981">
        <v>594</v>
      </c>
      <c r="C981">
        <v>67</v>
      </c>
      <c r="D981">
        <v>19</v>
      </c>
      <c r="E981" t="s">
        <v>28</v>
      </c>
      <c r="F981" t="s">
        <v>56</v>
      </c>
      <c r="G981" t="s">
        <v>30</v>
      </c>
      <c r="H981" s="1">
        <v>45420</v>
      </c>
      <c r="I981" t="s">
        <v>1092</v>
      </c>
      <c r="J981" t="s">
        <v>63</v>
      </c>
      <c r="K981" t="s">
        <v>75</v>
      </c>
      <c r="L981" s="1">
        <v>45413</v>
      </c>
      <c r="M981">
        <v>0.112794612794613</v>
      </c>
      <c r="N981">
        <v>1.4907806983130601E-3</v>
      </c>
    </row>
    <row r="982" spans="1:14" x14ac:dyDescent="0.25">
      <c r="A982" t="s">
        <v>1093</v>
      </c>
      <c r="B982">
        <v>5954</v>
      </c>
      <c r="C982">
        <v>2618</v>
      </c>
      <c r="D982">
        <v>11</v>
      </c>
      <c r="E982" t="s">
        <v>40</v>
      </c>
      <c r="F982" t="s">
        <v>41</v>
      </c>
      <c r="G982" t="s">
        <v>57</v>
      </c>
      <c r="H982" s="1">
        <v>45381</v>
      </c>
      <c r="I982" t="s">
        <v>1094</v>
      </c>
      <c r="J982" t="s">
        <v>83</v>
      </c>
      <c r="K982" t="s">
        <v>90</v>
      </c>
      <c r="L982" s="1">
        <v>45352</v>
      </c>
      <c r="M982">
        <v>0.43970440040309</v>
      </c>
      <c r="N982">
        <v>8.6308356218124801E-4</v>
      </c>
    </row>
    <row r="983" spans="1:14" x14ac:dyDescent="0.25">
      <c r="A983" t="s">
        <v>1095</v>
      </c>
      <c r="B983">
        <v>3518</v>
      </c>
      <c r="C983">
        <v>1051</v>
      </c>
      <c r="D983">
        <v>3</v>
      </c>
      <c r="E983" t="s">
        <v>40</v>
      </c>
      <c r="F983" t="s">
        <v>91</v>
      </c>
      <c r="G983" t="s">
        <v>16</v>
      </c>
      <c r="H983" s="1">
        <v>44084</v>
      </c>
      <c r="I983" t="s">
        <v>1096</v>
      </c>
      <c r="J983" t="s">
        <v>38</v>
      </c>
      <c r="K983" t="s">
        <v>79</v>
      </c>
      <c r="L983" s="1">
        <v>44075</v>
      </c>
      <c r="M983">
        <v>0.29874928936896</v>
      </c>
      <c r="N983">
        <v>2.35386426049431E-4</v>
      </c>
    </row>
    <row r="984" spans="1:14" x14ac:dyDescent="0.25">
      <c r="A984" t="s">
        <v>1095</v>
      </c>
      <c r="B984">
        <v>4157</v>
      </c>
      <c r="C984">
        <v>1874</v>
      </c>
      <c r="D984">
        <v>8</v>
      </c>
      <c r="E984" t="s">
        <v>14</v>
      </c>
      <c r="F984" t="s">
        <v>35</v>
      </c>
      <c r="G984" t="s">
        <v>36</v>
      </c>
      <c r="H984" s="1">
        <v>44084</v>
      </c>
      <c r="I984" t="s">
        <v>1096</v>
      </c>
      <c r="J984" t="s">
        <v>38</v>
      </c>
      <c r="K984" t="s">
        <v>79</v>
      </c>
      <c r="L984" s="1">
        <v>44075</v>
      </c>
      <c r="M984">
        <v>0.45080586961751301</v>
      </c>
      <c r="N984">
        <v>6.2769713613181597E-4</v>
      </c>
    </row>
    <row r="985" spans="1:14" x14ac:dyDescent="0.25">
      <c r="A985" t="s">
        <v>1097</v>
      </c>
      <c r="B985">
        <v>3747</v>
      </c>
      <c r="C985">
        <v>410</v>
      </c>
      <c r="D985">
        <v>5</v>
      </c>
      <c r="E985" t="s">
        <v>28</v>
      </c>
      <c r="F985" t="s">
        <v>50</v>
      </c>
      <c r="G985" t="s">
        <v>42</v>
      </c>
      <c r="H985" s="1">
        <v>44024</v>
      </c>
      <c r="I985" t="s">
        <v>1098</v>
      </c>
      <c r="J985" t="s">
        <v>21</v>
      </c>
      <c r="K985" t="s">
        <v>55</v>
      </c>
      <c r="L985" s="1">
        <v>44013</v>
      </c>
      <c r="M985">
        <v>0.10942087002935701</v>
      </c>
      <c r="N985">
        <v>3.9231071008238503E-4</v>
      </c>
    </row>
    <row r="986" spans="1:14" x14ac:dyDescent="0.25">
      <c r="A986" t="s">
        <v>1097</v>
      </c>
      <c r="B986">
        <v>3747</v>
      </c>
      <c r="C986">
        <v>410</v>
      </c>
      <c r="D986">
        <v>5</v>
      </c>
      <c r="E986" t="s">
        <v>28</v>
      </c>
      <c r="F986" t="s">
        <v>50</v>
      </c>
      <c r="G986" t="s">
        <v>42</v>
      </c>
      <c r="H986" s="1">
        <v>44903</v>
      </c>
      <c r="I986" t="s">
        <v>1099</v>
      </c>
      <c r="J986" t="s">
        <v>24</v>
      </c>
      <c r="K986" t="s">
        <v>25</v>
      </c>
      <c r="L986" s="1">
        <v>44896</v>
      </c>
      <c r="M986">
        <v>0.10942087002935701</v>
      </c>
      <c r="N986">
        <v>3.9231071008238503E-4</v>
      </c>
    </row>
    <row r="987" spans="1:14" x14ac:dyDescent="0.25">
      <c r="A987" t="s">
        <v>1097</v>
      </c>
      <c r="B987">
        <v>3747</v>
      </c>
      <c r="C987">
        <v>410</v>
      </c>
      <c r="D987">
        <v>5</v>
      </c>
      <c r="E987" t="s">
        <v>28</v>
      </c>
      <c r="F987" t="s">
        <v>50</v>
      </c>
      <c r="G987" t="s">
        <v>42</v>
      </c>
      <c r="H987" s="1">
        <v>45378</v>
      </c>
      <c r="I987" t="s">
        <v>1100</v>
      </c>
      <c r="J987" t="s">
        <v>83</v>
      </c>
      <c r="K987" t="s">
        <v>84</v>
      </c>
      <c r="L987" s="1">
        <v>45352</v>
      </c>
      <c r="M987">
        <v>0.10942087002935701</v>
      </c>
      <c r="N987">
        <v>3.9231071008238503E-4</v>
      </c>
    </row>
    <row r="988" spans="1:14" x14ac:dyDescent="0.25">
      <c r="A988" t="s">
        <v>1097</v>
      </c>
      <c r="B988">
        <v>3747</v>
      </c>
      <c r="C988">
        <v>410</v>
      </c>
      <c r="D988">
        <v>5</v>
      </c>
      <c r="E988" t="s">
        <v>28</v>
      </c>
      <c r="F988" t="s">
        <v>50</v>
      </c>
      <c r="G988" t="s">
        <v>42</v>
      </c>
      <c r="H988" s="1">
        <v>44974</v>
      </c>
      <c r="I988" t="s">
        <v>1101</v>
      </c>
      <c r="J988" t="s">
        <v>21</v>
      </c>
      <c r="K988" t="s">
        <v>22</v>
      </c>
      <c r="L988" s="1">
        <v>44958</v>
      </c>
      <c r="M988">
        <v>0.10942087002935701</v>
      </c>
      <c r="N988">
        <v>3.9231071008238503E-4</v>
      </c>
    </row>
    <row r="989" spans="1:14" x14ac:dyDescent="0.25">
      <c r="A989" t="s">
        <v>1097</v>
      </c>
      <c r="B989">
        <v>3747</v>
      </c>
      <c r="C989">
        <v>410</v>
      </c>
      <c r="D989">
        <v>5</v>
      </c>
      <c r="E989" t="s">
        <v>28</v>
      </c>
      <c r="F989" t="s">
        <v>50</v>
      </c>
      <c r="G989" t="s">
        <v>42</v>
      </c>
      <c r="H989" s="1">
        <v>44398</v>
      </c>
      <c r="I989" t="s">
        <v>1102</v>
      </c>
      <c r="J989" t="s">
        <v>38</v>
      </c>
      <c r="K989" t="s">
        <v>39</v>
      </c>
      <c r="L989" s="1">
        <v>44378</v>
      </c>
      <c r="M989">
        <v>0.10942087002935701</v>
      </c>
      <c r="N989">
        <v>3.9231071008238503E-4</v>
      </c>
    </row>
    <row r="990" spans="1:14" x14ac:dyDescent="0.25">
      <c r="A990" t="s">
        <v>1097</v>
      </c>
      <c r="B990">
        <v>3194</v>
      </c>
      <c r="C990">
        <v>534</v>
      </c>
      <c r="D990">
        <v>4</v>
      </c>
      <c r="E990" t="s">
        <v>28</v>
      </c>
      <c r="F990" t="s">
        <v>68</v>
      </c>
      <c r="G990" t="s">
        <v>16</v>
      </c>
      <c r="H990" s="1">
        <v>44024</v>
      </c>
      <c r="I990" t="s">
        <v>1098</v>
      </c>
      <c r="J990" t="s">
        <v>21</v>
      </c>
      <c r="K990" t="s">
        <v>55</v>
      </c>
      <c r="L990" s="1">
        <v>44013</v>
      </c>
      <c r="M990">
        <v>0.16718847839699399</v>
      </c>
      <c r="N990">
        <v>3.1384856806590799E-4</v>
      </c>
    </row>
    <row r="991" spans="1:14" x14ac:dyDescent="0.25">
      <c r="A991" t="s">
        <v>1097</v>
      </c>
      <c r="B991">
        <v>3194</v>
      </c>
      <c r="C991">
        <v>534</v>
      </c>
      <c r="D991">
        <v>4</v>
      </c>
      <c r="E991" t="s">
        <v>28</v>
      </c>
      <c r="F991" t="s">
        <v>68</v>
      </c>
      <c r="G991" t="s">
        <v>16</v>
      </c>
      <c r="H991" s="1">
        <v>44903</v>
      </c>
      <c r="I991" t="s">
        <v>1099</v>
      </c>
      <c r="J991" t="s">
        <v>24</v>
      </c>
      <c r="K991" t="s">
        <v>25</v>
      </c>
      <c r="L991" s="1">
        <v>44896</v>
      </c>
      <c r="M991">
        <v>0.16718847839699399</v>
      </c>
      <c r="N991">
        <v>3.1384856806590799E-4</v>
      </c>
    </row>
    <row r="992" spans="1:14" x14ac:dyDescent="0.25">
      <c r="A992" t="s">
        <v>1097</v>
      </c>
      <c r="B992">
        <v>3194</v>
      </c>
      <c r="C992">
        <v>534</v>
      </c>
      <c r="D992">
        <v>4</v>
      </c>
      <c r="E992" t="s">
        <v>28</v>
      </c>
      <c r="F992" t="s">
        <v>68</v>
      </c>
      <c r="G992" t="s">
        <v>16</v>
      </c>
      <c r="H992" s="1">
        <v>45378</v>
      </c>
      <c r="I992" t="s">
        <v>1100</v>
      </c>
      <c r="J992" t="s">
        <v>83</v>
      </c>
      <c r="K992" t="s">
        <v>84</v>
      </c>
      <c r="L992" s="1">
        <v>45352</v>
      </c>
      <c r="M992">
        <v>0.16718847839699399</v>
      </c>
      <c r="N992">
        <v>3.1384856806590799E-4</v>
      </c>
    </row>
    <row r="993" spans="1:14" x14ac:dyDescent="0.25">
      <c r="A993" t="s">
        <v>1097</v>
      </c>
      <c r="B993">
        <v>3194</v>
      </c>
      <c r="C993">
        <v>534</v>
      </c>
      <c r="D993">
        <v>4</v>
      </c>
      <c r="E993" t="s">
        <v>28</v>
      </c>
      <c r="F993" t="s">
        <v>68</v>
      </c>
      <c r="G993" t="s">
        <v>16</v>
      </c>
      <c r="H993" s="1">
        <v>44974</v>
      </c>
      <c r="I993" t="s">
        <v>1101</v>
      </c>
      <c r="J993" t="s">
        <v>21</v>
      </c>
      <c r="K993" t="s">
        <v>22</v>
      </c>
      <c r="L993" s="1">
        <v>44958</v>
      </c>
      <c r="M993">
        <v>0.16718847839699399</v>
      </c>
      <c r="N993">
        <v>3.1384856806590799E-4</v>
      </c>
    </row>
    <row r="994" spans="1:14" x14ac:dyDescent="0.25">
      <c r="A994" t="s">
        <v>1097</v>
      </c>
      <c r="B994">
        <v>3194</v>
      </c>
      <c r="C994">
        <v>534</v>
      </c>
      <c r="D994">
        <v>4</v>
      </c>
      <c r="E994" t="s">
        <v>28</v>
      </c>
      <c r="F994" t="s">
        <v>68</v>
      </c>
      <c r="G994" t="s">
        <v>16</v>
      </c>
      <c r="H994" s="1">
        <v>44398</v>
      </c>
      <c r="I994" t="s">
        <v>1102</v>
      </c>
      <c r="J994" t="s">
        <v>38</v>
      </c>
      <c r="K994" t="s">
        <v>39</v>
      </c>
      <c r="L994" s="1">
        <v>44378</v>
      </c>
      <c r="M994">
        <v>0.16718847839699399</v>
      </c>
      <c r="N994">
        <v>3.1384856806590799E-4</v>
      </c>
    </row>
    <row r="995" spans="1:14" x14ac:dyDescent="0.25">
      <c r="A995" t="s">
        <v>1103</v>
      </c>
      <c r="B995">
        <v>8548</v>
      </c>
      <c r="C995">
        <v>2305</v>
      </c>
      <c r="D995">
        <v>1</v>
      </c>
      <c r="E995" t="s">
        <v>28</v>
      </c>
      <c r="F995" t="s">
        <v>68</v>
      </c>
      <c r="G995" t="s">
        <v>57</v>
      </c>
      <c r="H995" s="1">
        <v>44864</v>
      </c>
      <c r="I995" t="s">
        <v>1104</v>
      </c>
      <c r="J995" t="s">
        <v>18</v>
      </c>
      <c r="K995" t="s">
        <v>122</v>
      </c>
      <c r="L995" s="1">
        <v>44835</v>
      </c>
      <c r="M995">
        <v>0.26965372016846001</v>
      </c>
      <c r="N995">
        <v>7.8462142016476997E-5</v>
      </c>
    </row>
    <row r="996" spans="1:14" x14ac:dyDescent="0.25">
      <c r="A996" t="s">
        <v>1105</v>
      </c>
      <c r="B996">
        <v>6089</v>
      </c>
      <c r="C996">
        <v>139</v>
      </c>
      <c r="D996">
        <v>19</v>
      </c>
      <c r="E996" t="s">
        <v>40</v>
      </c>
      <c r="F996" t="s">
        <v>41</v>
      </c>
      <c r="G996" t="s">
        <v>30</v>
      </c>
      <c r="H996" s="1">
        <v>44196</v>
      </c>
      <c r="I996" t="s">
        <v>1106</v>
      </c>
      <c r="J996" t="s">
        <v>83</v>
      </c>
      <c r="K996" t="s">
        <v>90</v>
      </c>
      <c r="L996" s="1">
        <v>44166</v>
      </c>
      <c r="M996">
        <v>2.2828050583018601E-2</v>
      </c>
      <c r="N996">
        <v>1.4907806983130601E-3</v>
      </c>
    </row>
    <row r="997" spans="1:14" x14ac:dyDescent="0.25">
      <c r="A997" t="s">
        <v>1105</v>
      </c>
      <c r="B997">
        <v>6089</v>
      </c>
      <c r="C997">
        <v>139</v>
      </c>
      <c r="D997">
        <v>19</v>
      </c>
      <c r="E997" t="s">
        <v>40</v>
      </c>
      <c r="F997" t="s">
        <v>41</v>
      </c>
      <c r="G997" t="s">
        <v>30</v>
      </c>
      <c r="H997" s="1">
        <v>44666</v>
      </c>
      <c r="I997" t="s">
        <v>1107</v>
      </c>
      <c r="J997" t="s">
        <v>83</v>
      </c>
      <c r="K997" t="s">
        <v>98</v>
      </c>
      <c r="L997" s="1">
        <v>44652</v>
      </c>
      <c r="M997">
        <v>2.2828050583018601E-2</v>
      </c>
      <c r="N997">
        <v>1.4907806983130601E-3</v>
      </c>
    </row>
    <row r="998" spans="1:14" x14ac:dyDescent="0.25">
      <c r="A998" t="s">
        <v>1105</v>
      </c>
      <c r="B998">
        <v>6089</v>
      </c>
      <c r="C998">
        <v>139</v>
      </c>
      <c r="D998">
        <v>19</v>
      </c>
      <c r="E998" t="s">
        <v>40</v>
      </c>
      <c r="F998" t="s">
        <v>41</v>
      </c>
      <c r="G998" t="s">
        <v>30</v>
      </c>
      <c r="H998" s="1">
        <v>45021</v>
      </c>
      <c r="I998" t="s">
        <v>1108</v>
      </c>
      <c r="J998" t="s">
        <v>21</v>
      </c>
      <c r="K998" t="s">
        <v>22</v>
      </c>
      <c r="L998" s="1">
        <v>45017</v>
      </c>
      <c r="M998">
        <v>2.2828050583018601E-2</v>
      </c>
      <c r="N998">
        <v>1.4907806983130601E-3</v>
      </c>
    </row>
    <row r="999" spans="1:14" x14ac:dyDescent="0.25">
      <c r="A999" t="s">
        <v>1105</v>
      </c>
      <c r="B999">
        <v>2586</v>
      </c>
      <c r="C999">
        <v>800</v>
      </c>
      <c r="D999">
        <v>16</v>
      </c>
      <c r="E999" t="s">
        <v>40</v>
      </c>
      <c r="F999" t="s">
        <v>41</v>
      </c>
      <c r="G999" t="s">
        <v>16</v>
      </c>
      <c r="H999" s="1">
        <v>44196</v>
      </c>
      <c r="I999" t="s">
        <v>1106</v>
      </c>
      <c r="J999" t="s">
        <v>83</v>
      </c>
      <c r="K999" t="s">
        <v>90</v>
      </c>
      <c r="L999" s="1">
        <v>44166</v>
      </c>
      <c r="M999">
        <v>0.30935808197989201</v>
      </c>
      <c r="N999">
        <v>1.25539427226363E-3</v>
      </c>
    </row>
    <row r="1000" spans="1:14" x14ac:dyDescent="0.25">
      <c r="A1000" t="s">
        <v>1105</v>
      </c>
      <c r="B1000">
        <v>2586</v>
      </c>
      <c r="C1000">
        <v>800</v>
      </c>
      <c r="D1000">
        <v>16</v>
      </c>
      <c r="E1000" t="s">
        <v>40</v>
      </c>
      <c r="F1000" t="s">
        <v>41</v>
      </c>
      <c r="G1000" t="s">
        <v>16</v>
      </c>
      <c r="H1000" s="1">
        <v>44666</v>
      </c>
      <c r="I1000" t="s">
        <v>1107</v>
      </c>
      <c r="J1000" t="s">
        <v>83</v>
      </c>
      <c r="K1000" t="s">
        <v>98</v>
      </c>
      <c r="L1000" s="1">
        <v>44652</v>
      </c>
      <c r="M1000">
        <v>0.30935808197989201</v>
      </c>
      <c r="N1000">
        <v>1.25539427226363E-3</v>
      </c>
    </row>
    <row r="1001" spans="1:14" x14ac:dyDescent="0.25">
      <c r="A1001" t="s">
        <v>1105</v>
      </c>
      <c r="B1001">
        <v>2586</v>
      </c>
      <c r="C1001">
        <v>800</v>
      </c>
      <c r="D1001">
        <v>16</v>
      </c>
      <c r="E1001" t="s">
        <v>40</v>
      </c>
      <c r="F1001" t="s">
        <v>41</v>
      </c>
      <c r="G1001" t="s">
        <v>16</v>
      </c>
      <c r="H1001" s="1">
        <v>45021</v>
      </c>
      <c r="I1001" t="s">
        <v>1108</v>
      </c>
      <c r="J1001" t="s">
        <v>21</v>
      </c>
      <c r="K1001" t="s">
        <v>22</v>
      </c>
      <c r="L1001" s="1">
        <v>45017</v>
      </c>
      <c r="M1001">
        <v>0.30935808197989201</v>
      </c>
      <c r="N1001">
        <v>1.25539427226363E-3</v>
      </c>
    </row>
    <row r="1002" spans="1:14" x14ac:dyDescent="0.25">
      <c r="A1002" t="s">
        <v>1105</v>
      </c>
      <c r="B1002">
        <v>3757</v>
      </c>
      <c r="C1002">
        <v>1626</v>
      </c>
      <c r="D1002">
        <v>9</v>
      </c>
      <c r="E1002" t="s">
        <v>28</v>
      </c>
      <c r="F1002" t="s">
        <v>56</v>
      </c>
      <c r="G1002" t="s">
        <v>16</v>
      </c>
      <c r="H1002" s="1">
        <v>44196</v>
      </c>
      <c r="I1002" t="s">
        <v>1106</v>
      </c>
      <c r="J1002" t="s">
        <v>83</v>
      </c>
      <c r="K1002" t="s">
        <v>90</v>
      </c>
      <c r="L1002" s="1">
        <v>44166</v>
      </c>
      <c r="M1002">
        <v>0.43279212137343598</v>
      </c>
      <c r="N1002">
        <v>7.0615927814829404E-4</v>
      </c>
    </row>
    <row r="1003" spans="1:14" x14ac:dyDescent="0.25">
      <c r="A1003" t="s">
        <v>1105</v>
      </c>
      <c r="B1003">
        <v>3757</v>
      </c>
      <c r="C1003">
        <v>1626</v>
      </c>
      <c r="D1003">
        <v>9</v>
      </c>
      <c r="E1003" t="s">
        <v>28</v>
      </c>
      <c r="F1003" t="s">
        <v>56</v>
      </c>
      <c r="G1003" t="s">
        <v>16</v>
      </c>
      <c r="H1003" s="1">
        <v>44666</v>
      </c>
      <c r="I1003" t="s">
        <v>1107</v>
      </c>
      <c r="J1003" t="s">
        <v>83</v>
      </c>
      <c r="K1003" t="s">
        <v>98</v>
      </c>
      <c r="L1003" s="1">
        <v>44652</v>
      </c>
      <c r="M1003">
        <v>0.43279212137343598</v>
      </c>
      <c r="N1003">
        <v>7.0615927814829404E-4</v>
      </c>
    </row>
    <row r="1004" spans="1:14" x14ac:dyDescent="0.25">
      <c r="A1004" t="s">
        <v>1105</v>
      </c>
      <c r="B1004">
        <v>3757</v>
      </c>
      <c r="C1004">
        <v>1626</v>
      </c>
      <c r="D1004">
        <v>9</v>
      </c>
      <c r="E1004" t="s">
        <v>28</v>
      </c>
      <c r="F1004" t="s">
        <v>56</v>
      </c>
      <c r="G1004" t="s">
        <v>16</v>
      </c>
      <c r="H1004" s="1">
        <v>45021</v>
      </c>
      <c r="I1004" t="s">
        <v>1108</v>
      </c>
      <c r="J1004" t="s">
        <v>21</v>
      </c>
      <c r="K1004" t="s">
        <v>22</v>
      </c>
      <c r="L1004" s="1">
        <v>45017</v>
      </c>
      <c r="M1004">
        <v>0.43279212137343598</v>
      </c>
      <c r="N1004">
        <v>7.0615927814829404E-4</v>
      </c>
    </row>
    <row r="1005" spans="1:14" x14ac:dyDescent="0.25">
      <c r="A1005" t="s">
        <v>1109</v>
      </c>
      <c r="B1005">
        <v>5193</v>
      </c>
      <c r="C1005">
        <v>2530</v>
      </c>
      <c r="D1005">
        <v>5</v>
      </c>
      <c r="E1005" t="s">
        <v>40</v>
      </c>
      <c r="F1005" t="s">
        <v>52</v>
      </c>
      <c r="G1005" t="s">
        <v>30</v>
      </c>
      <c r="H1005" s="1">
        <v>44498</v>
      </c>
      <c r="I1005" t="s">
        <v>1110</v>
      </c>
      <c r="J1005" t="s">
        <v>38</v>
      </c>
      <c r="K1005" t="s">
        <v>66</v>
      </c>
      <c r="L1005" s="1">
        <v>44470</v>
      </c>
      <c r="M1005">
        <v>0.48719430001925701</v>
      </c>
      <c r="N1005">
        <v>3.9231071008238503E-4</v>
      </c>
    </row>
    <row r="1006" spans="1:14" x14ac:dyDescent="0.25">
      <c r="A1006" t="s">
        <v>1109</v>
      </c>
      <c r="B1006">
        <v>5193</v>
      </c>
      <c r="C1006">
        <v>2530</v>
      </c>
      <c r="D1006">
        <v>5</v>
      </c>
      <c r="E1006" t="s">
        <v>40</v>
      </c>
      <c r="F1006" t="s">
        <v>52</v>
      </c>
      <c r="G1006" t="s">
        <v>30</v>
      </c>
      <c r="H1006" s="1">
        <v>45655</v>
      </c>
      <c r="I1006" t="s">
        <v>1111</v>
      </c>
      <c r="J1006" t="s">
        <v>18</v>
      </c>
      <c r="K1006" t="s">
        <v>19</v>
      </c>
      <c r="L1006" s="1">
        <v>45627</v>
      </c>
      <c r="M1006">
        <v>0.48719430001925701</v>
      </c>
      <c r="N1006">
        <v>3.9231071008238503E-4</v>
      </c>
    </row>
    <row r="1007" spans="1:14" x14ac:dyDescent="0.25">
      <c r="A1007" t="s">
        <v>1112</v>
      </c>
      <c r="B1007">
        <v>7493</v>
      </c>
      <c r="C1007">
        <v>96</v>
      </c>
      <c r="D1007">
        <v>3</v>
      </c>
      <c r="E1007" t="s">
        <v>14</v>
      </c>
      <c r="F1007" t="s">
        <v>15</v>
      </c>
      <c r="G1007" t="s">
        <v>16</v>
      </c>
      <c r="H1007" s="1">
        <v>44054</v>
      </c>
      <c r="I1007" t="s">
        <v>1113</v>
      </c>
      <c r="J1007" t="s">
        <v>83</v>
      </c>
      <c r="K1007" t="s">
        <v>98</v>
      </c>
      <c r="L1007" s="1">
        <v>44044</v>
      </c>
      <c r="M1007">
        <v>1.2811957827305501E-2</v>
      </c>
      <c r="N1007">
        <v>2.35386426049431E-4</v>
      </c>
    </row>
    <row r="1008" spans="1:14" x14ac:dyDescent="0.25">
      <c r="A1008" t="s">
        <v>1114</v>
      </c>
      <c r="B1008">
        <v>2062</v>
      </c>
      <c r="C1008">
        <v>848</v>
      </c>
      <c r="D1008">
        <v>6</v>
      </c>
      <c r="E1008" t="s">
        <v>28</v>
      </c>
      <c r="F1008" t="s">
        <v>50</v>
      </c>
      <c r="G1008" t="s">
        <v>42</v>
      </c>
      <c r="H1008" s="1">
        <v>45355</v>
      </c>
      <c r="I1008" t="s">
        <v>1115</v>
      </c>
      <c r="J1008" t="s">
        <v>18</v>
      </c>
      <c r="K1008" t="s">
        <v>122</v>
      </c>
      <c r="L1008" s="1">
        <v>45352</v>
      </c>
      <c r="M1008">
        <v>0.41125121241513102</v>
      </c>
      <c r="N1008">
        <v>4.7077285209886201E-4</v>
      </c>
    </row>
    <row r="1009" spans="1:14" x14ac:dyDescent="0.25">
      <c r="A1009" t="s">
        <v>1116</v>
      </c>
      <c r="B1009">
        <v>7163</v>
      </c>
      <c r="C1009">
        <v>1536</v>
      </c>
      <c r="D1009">
        <v>1</v>
      </c>
      <c r="E1009" t="s">
        <v>14</v>
      </c>
      <c r="F1009" t="s">
        <v>71</v>
      </c>
      <c r="G1009" t="s">
        <v>36</v>
      </c>
      <c r="H1009" s="1">
        <v>45216</v>
      </c>
      <c r="I1009" t="s">
        <v>1117</v>
      </c>
      <c r="J1009" t="s">
        <v>38</v>
      </c>
      <c r="K1009" t="s">
        <v>66</v>
      </c>
      <c r="L1009" s="1">
        <v>45200</v>
      </c>
      <c r="M1009">
        <v>0.21443529247522</v>
      </c>
      <c r="N1009">
        <v>7.8462142016476997E-5</v>
      </c>
    </row>
    <row r="1010" spans="1:14" x14ac:dyDescent="0.25">
      <c r="A1010" t="s">
        <v>1118</v>
      </c>
      <c r="B1010">
        <v>4026</v>
      </c>
      <c r="C1010">
        <v>163</v>
      </c>
      <c r="D1010">
        <v>6</v>
      </c>
      <c r="E1010" t="s">
        <v>14</v>
      </c>
      <c r="F1010" t="s">
        <v>71</v>
      </c>
      <c r="G1010" t="s">
        <v>57</v>
      </c>
      <c r="H1010" s="1">
        <v>45135</v>
      </c>
      <c r="I1010" t="s">
        <v>1119</v>
      </c>
      <c r="J1010" t="s">
        <v>24</v>
      </c>
      <c r="K1010" t="s">
        <v>46</v>
      </c>
      <c r="L1010" s="1">
        <v>45108</v>
      </c>
      <c r="M1010">
        <v>4.0486835568802802E-2</v>
      </c>
      <c r="N1010">
        <v>4.7077285209886201E-4</v>
      </c>
    </row>
    <row r="1011" spans="1:14" x14ac:dyDescent="0.25">
      <c r="A1011" t="s">
        <v>1120</v>
      </c>
      <c r="B1011">
        <v>1894</v>
      </c>
      <c r="C1011">
        <v>275</v>
      </c>
      <c r="D1011">
        <v>5</v>
      </c>
      <c r="E1011" t="s">
        <v>40</v>
      </c>
      <c r="F1011" t="s">
        <v>44</v>
      </c>
      <c r="G1011" t="s">
        <v>42</v>
      </c>
      <c r="H1011" s="1">
        <v>44527</v>
      </c>
      <c r="I1011" t="s">
        <v>1121</v>
      </c>
      <c r="J1011" t="s">
        <v>18</v>
      </c>
      <c r="K1011" t="s">
        <v>19</v>
      </c>
      <c r="L1011" s="1">
        <v>44501</v>
      </c>
      <c r="M1011">
        <v>0.14519535374868001</v>
      </c>
      <c r="N1011">
        <v>3.9231071008238503E-4</v>
      </c>
    </row>
    <row r="1012" spans="1:14" x14ac:dyDescent="0.25">
      <c r="A1012" t="s">
        <v>1120</v>
      </c>
      <c r="B1012">
        <v>7144</v>
      </c>
      <c r="C1012">
        <v>192</v>
      </c>
      <c r="D1012">
        <v>13</v>
      </c>
      <c r="E1012" t="s">
        <v>14</v>
      </c>
      <c r="F1012" t="s">
        <v>15</v>
      </c>
      <c r="G1012" t="s">
        <v>42</v>
      </c>
      <c r="H1012" s="1">
        <v>44527</v>
      </c>
      <c r="I1012" t="s">
        <v>1121</v>
      </c>
      <c r="J1012" t="s">
        <v>18</v>
      </c>
      <c r="K1012" t="s">
        <v>19</v>
      </c>
      <c r="L1012" s="1">
        <v>44501</v>
      </c>
      <c r="M1012">
        <v>2.6875699888017902E-2</v>
      </c>
      <c r="N1012">
        <v>1.0200078462141999E-3</v>
      </c>
    </row>
    <row r="1013" spans="1:14" x14ac:dyDescent="0.25">
      <c r="A1013" t="s">
        <v>1122</v>
      </c>
      <c r="B1013">
        <v>3482</v>
      </c>
      <c r="C1013">
        <v>1554</v>
      </c>
      <c r="D1013">
        <v>15</v>
      </c>
      <c r="E1013" t="s">
        <v>14</v>
      </c>
      <c r="F1013" t="s">
        <v>35</v>
      </c>
      <c r="G1013" t="s">
        <v>30</v>
      </c>
      <c r="H1013" s="1">
        <v>44083</v>
      </c>
      <c r="I1013" t="s">
        <v>1123</v>
      </c>
      <c r="J1013" t="s">
        <v>83</v>
      </c>
      <c r="K1013" t="s">
        <v>84</v>
      </c>
      <c r="L1013" s="1">
        <v>44075</v>
      </c>
      <c r="M1013">
        <v>0.44629523262492798</v>
      </c>
      <c r="N1013">
        <v>1.17693213024716E-3</v>
      </c>
    </row>
    <row r="1014" spans="1:14" x14ac:dyDescent="0.25">
      <c r="A1014" t="s">
        <v>1124</v>
      </c>
      <c r="B1014">
        <v>4172</v>
      </c>
      <c r="C1014">
        <v>235</v>
      </c>
      <c r="D1014">
        <v>5</v>
      </c>
      <c r="E1014" t="s">
        <v>28</v>
      </c>
      <c r="F1014" t="s">
        <v>56</v>
      </c>
      <c r="G1014" t="s">
        <v>36</v>
      </c>
      <c r="H1014" s="1">
        <v>44349</v>
      </c>
      <c r="I1014" t="s">
        <v>1125</v>
      </c>
      <c r="J1014" t="s">
        <v>83</v>
      </c>
      <c r="K1014" t="s">
        <v>98</v>
      </c>
      <c r="L1014" s="1">
        <v>44348</v>
      </c>
      <c r="M1014">
        <v>5.6327900287631801E-2</v>
      </c>
      <c r="N1014">
        <v>3.9231071008238503E-4</v>
      </c>
    </row>
    <row r="1015" spans="1:14" x14ac:dyDescent="0.25">
      <c r="A1015" t="s">
        <v>1124</v>
      </c>
      <c r="B1015">
        <v>4172</v>
      </c>
      <c r="C1015">
        <v>235</v>
      </c>
      <c r="D1015">
        <v>5</v>
      </c>
      <c r="E1015" t="s">
        <v>28</v>
      </c>
      <c r="F1015" t="s">
        <v>56</v>
      </c>
      <c r="G1015" t="s">
        <v>36</v>
      </c>
      <c r="H1015" s="1">
        <v>44795</v>
      </c>
      <c r="I1015" t="s">
        <v>1126</v>
      </c>
      <c r="J1015" t="s">
        <v>18</v>
      </c>
      <c r="K1015" t="s">
        <v>32</v>
      </c>
      <c r="L1015" s="1">
        <v>44774</v>
      </c>
      <c r="M1015">
        <v>5.6327900287631801E-2</v>
      </c>
      <c r="N1015">
        <v>3.9231071008238503E-4</v>
      </c>
    </row>
    <row r="1016" spans="1:14" x14ac:dyDescent="0.25">
      <c r="A1016" t="s">
        <v>1124</v>
      </c>
      <c r="B1016">
        <v>4172</v>
      </c>
      <c r="C1016">
        <v>235</v>
      </c>
      <c r="D1016">
        <v>5</v>
      </c>
      <c r="E1016" t="s">
        <v>28</v>
      </c>
      <c r="F1016" t="s">
        <v>56</v>
      </c>
      <c r="G1016" t="s">
        <v>36</v>
      </c>
      <c r="H1016" s="1">
        <v>45398</v>
      </c>
      <c r="I1016" t="s">
        <v>1127</v>
      </c>
      <c r="J1016" t="s">
        <v>21</v>
      </c>
      <c r="K1016" t="s">
        <v>55</v>
      </c>
      <c r="L1016" s="1">
        <v>45383</v>
      </c>
      <c r="M1016">
        <v>5.6327900287631801E-2</v>
      </c>
      <c r="N1016">
        <v>3.9231071008238503E-4</v>
      </c>
    </row>
    <row r="1017" spans="1:14" x14ac:dyDescent="0.25">
      <c r="A1017" t="s">
        <v>1128</v>
      </c>
      <c r="B1017">
        <v>6265</v>
      </c>
      <c r="C1017">
        <v>155</v>
      </c>
      <c r="D1017">
        <v>8</v>
      </c>
      <c r="E1017" t="s">
        <v>40</v>
      </c>
      <c r="F1017" t="s">
        <v>52</v>
      </c>
      <c r="G1017" t="s">
        <v>57</v>
      </c>
      <c r="H1017" s="1">
        <v>44796</v>
      </c>
      <c r="I1017" t="s">
        <v>1129</v>
      </c>
      <c r="J1017" t="s">
        <v>83</v>
      </c>
      <c r="K1017" t="s">
        <v>90</v>
      </c>
      <c r="L1017" s="1">
        <v>44774</v>
      </c>
      <c r="M1017">
        <v>2.4740622505985601E-2</v>
      </c>
      <c r="N1017">
        <v>6.2769713613181597E-4</v>
      </c>
    </row>
    <row r="1018" spans="1:14" x14ac:dyDescent="0.25">
      <c r="A1018" t="s">
        <v>1128</v>
      </c>
      <c r="B1018">
        <v>6265</v>
      </c>
      <c r="C1018">
        <v>155</v>
      </c>
      <c r="D1018">
        <v>8</v>
      </c>
      <c r="E1018" t="s">
        <v>40</v>
      </c>
      <c r="F1018" t="s">
        <v>52</v>
      </c>
      <c r="G1018" t="s">
        <v>57</v>
      </c>
      <c r="H1018" s="1">
        <v>44267</v>
      </c>
      <c r="I1018" t="s">
        <v>1130</v>
      </c>
      <c r="J1018" t="s">
        <v>83</v>
      </c>
      <c r="K1018" t="s">
        <v>98</v>
      </c>
      <c r="L1018" s="1">
        <v>44256</v>
      </c>
      <c r="M1018">
        <v>2.4740622505985601E-2</v>
      </c>
      <c r="N1018">
        <v>6.2769713613181597E-4</v>
      </c>
    </row>
    <row r="1019" spans="1:14" x14ac:dyDescent="0.25">
      <c r="A1019" t="s">
        <v>1131</v>
      </c>
      <c r="B1019">
        <v>2931</v>
      </c>
      <c r="C1019">
        <v>212</v>
      </c>
      <c r="D1019">
        <v>7</v>
      </c>
      <c r="E1019" t="s">
        <v>14</v>
      </c>
      <c r="F1019" t="s">
        <v>15</v>
      </c>
      <c r="G1019" t="s">
        <v>42</v>
      </c>
      <c r="H1019" s="1">
        <v>45469</v>
      </c>
      <c r="I1019" t="s">
        <v>1132</v>
      </c>
      <c r="J1019" t="s">
        <v>21</v>
      </c>
      <c r="K1019" t="s">
        <v>138</v>
      </c>
      <c r="L1019" s="1">
        <v>45444</v>
      </c>
      <c r="M1019">
        <v>7.2330262708972998E-2</v>
      </c>
      <c r="N1019">
        <v>5.4923499411533899E-4</v>
      </c>
    </row>
    <row r="1020" spans="1:14" x14ac:dyDescent="0.25">
      <c r="A1020" t="s">
        <v>1131</v>
      </c>
      <c r="B1020">
        <v>2931</v>
      </c>
      <c r="C1020">
        <v>212</v>
      </c>
      <c r="D1020">
        <v>7</v>
      </c>
      <c r="E1020" t="s">
        <v>14</v>
      </c>
      <c r="F1020" t="s">
        <v>15</v>
      </c>
      <c r="G1020" t="s">
        <v>42</v>
      </c>
      <c r="H1020" s="1">
        <v>45268</v>
      </c>
      <c r="I1020" t="s">
        <v>1133</v>
      </c>
      <c r="J1020" t="s">
        <v>18</v>
      </c>
      <c r="K1020" t="s">
        <v>122</v>
      </c>
      <c r="L1020" s="1">
        <v>45261</v>
      </c>
      <c r="M1020">
        <v>7.2330262708972998E-2</v>
      </c>
      <c r="N1020">
        <v>5.4923499411533899E-4</v>
      </c>
    </row>
    <row r="1021" spans="1:14" x14ac:dyDescent="0.25">
      <c r="A1021" t="s">
        <v>1134</v>
      </c>
      <c r="B1021">
        <v>1146</v>
      </c>
      <c r="C1021">
        <v>188</v>
      </c>
      <c r="D1021">
        <v>9</v>
      </c>
      <c r="E1021" t="s">
        <v>40</v>
      </c>
      <c r="F1021" t="s">
        <v>44</v>
      </c>
      <c r="G1021" t="s">
        <v>30</v>
      </c>
      <c r="H1021" s="1">
        <v>45623</v>
      </c>
      <c r="I1021" t="s">
        <v>1135</v>
      </c>
      <c r="J1021" t="s">
        <v>18</v>
      </c>
      <c r="K1021" t="s">
        <v>122</v>
      </c>
      <c r="L1021" s="1">
        <v>45597</v>
      </c>
      <c r="M1021">
        <v>0.16404886561954601</v>
      </c>
      <c r="N1021">
        <v>7.0615927814829404E-4</v>
      </c>
    </row>
    <row r="1022" spans="1:14" x14ac:dyDescent="0.25">
      <c r="A1022" t="s">
        <v>1136</v>
      </c>
      <c r="B1022">
        <v>9215</v>
      </c>
      <c r="C1022">
        <v>767</v>
      </c>
      <c r="D1022">
        <v>13</v>
      </c>
      <c r="E1022" t="s">
        <v>14</v>
      </c>
      <c r="F1022" t="s">
        <v>26</v>
      </c>
      <c r="G1022" t="s">
        <v>57</v>
      </c>
      <c r="H1022" s="1">
        <v>44571</v>
      </c>
      <c r="I1022" t="s">
        <v>1137</v>
      </c>
      <c r="J1022" t="s">
        <v>18</v>
      </c>
      <c r="K1022" t="s">
        <v>122</v>
      </c>
      <c r="L1022" s="1">
        <v>44562</v>
      </c>
      <c r="M1022">
        <v>8.3233857840477501E-2</v>
      </c>
      <c r="N1022">
        <v>1.0200078462141999E-3</v>
      </c>
    </row>
    <row r="1023" spans="1:14" x14ac:dyDescent="0.25">
      <c r="A1023" t="s">
        <v>1136</v>
      </c>
      <c r="B1023">
        <v>9215</v>
      </c>
      <c r="C1023">
        <v>767</v>
      </c>
      <c r="D1023">
        <v>13</v>
      </c>
      <c r="E1023" t="s">
        <v>14</v>
      </c>
      <c r="F1023" t="s">
        <v>26</v>
      </c>
      <c r="G1023" t="s">
        <v>57</v>
      </c>
      <c r="H1023" s="1">
        <v>44501</v>
      </c>
      <c r="I1023" t="s">
        <v>1138</v>
      </c>
      <c r="J1023" t="s">
        <v>38</v>
      </c>
      <c r="K1023" t="s">
        <v>79</v>
      </c>
      <c r="L1023" s="1">
        <v>44501</v>
      </c>
      <c r="M1023">
        <v>8.3233857840477501E-2</v>
      </c>
      <c r="N1023">
        <v>1.0200078462141999E-3</v>
      </c>
    </row>
    <row r="1024" spans="1:14" x14ac:dyDescent="0.25">
      <c r="A1024" t="s">
        <v>1139</v>
      </c>
      <c r="B1024">
        <v>7895</v>
      </c>
      <c r="C1024">
        <v>1005</v>
      </c>
      <c r="D1024">
        <v>1</v>
      </c>
      <c r="E1024" t="s">
        <v>40</v>
      </c>
      <c r="F1024" t="s">
        <v>44</v>
      </c>
      <c r="G1024" t="s">
        <v>42</v>
      </c>
      <c r="H1024" s="1">
        <v>45227</v>
      </c>
      <c r="I1024" t="s">
        <v>1140</v>
      </c>
      <c r="J1024" t="s">
        <v>83</v>
      </c>
      <c r="K1024" t="s">
        <v>90</v>
      </c>
      <c r="L1024" s="1">
        <v>45200</v>
      </c>
      <c r="M1024">
        <v>0.12729575680810601</v>
      </c>
      <c r="N1024">
        <v>7.8462142016476997E-5</v>
      </c>
    </row>
    <row r="1025" spans="1:14" x14ac:dyDescent="0.25">
      <c r="A1025" t="s">
        <v>1139</v>
      </c>
      <c r="B1025">
        <v>7895</v>
      </c>
      <c r="C1025">
        <v>1005</v>
      </c>
      <c r="D1025">
        <v>1</v>
      </c>
      <c r="E1025" t="s">
        <v>40</v>
      </c>
      <c r="F1025" t="s">
        <v>44</v>
      </c>
      <c r="G1025" t="s">
        <v>42</v>
      </c>
      <c r="H1025" s="1">
        <v>45717</v>
      </c>
      <c r="I1025" t="s">
        <v>1141</v>
      </c>
      <c r="J1025" t="s">
        <v>38</v>
      </c>
      <c r="K1025" t="s">
        <v>66</v>
      </c>
      <c r="L1025" s="1">
        <v>45717</v>
      </c>
      <c r="M1025">
        <v>0.12729575680810601</v>
      </c>
      <c r="N1025">
        <v>7.8462142016476997E-5</v>
      </c>
    </row>
    <row r="1026" spans="1:14" x14ac:dyDescent="0.25">
      <c r="A1026" t="s">
        <v>1139</v>
      </c>
      <c r="B1026">
        <v>2740</v>
      </c>
      <c r="C1026">
        <v>558</v>
      </c>
      <c r="D1026">
        <v>8</v>
      </c>
      <c r="E1026" t="s">
        <v>28</v>
      </c>
      <c r="F1026" t="s">
        <v>29</v>
      </c>
      <c r="G1026" t="s">
        <v>16</v>
      </c>
      <c r="H1026" s="1">
        <v>45227</v>
      </c>
      <c r="I1026" t="s">
        <v>1140</v>
      </c>
      <c r="J1026" t="s">
        <v>83</v>
      </c>
      <c r="K1026" t="s">
        <v>90</v>
      </c>
      <c r="L1026" s="1">
        <v>45200</v>
      </c>
      <c r="M1026">
        <v>0.203649635036496</v>
      </c>
      <c r="N1026">
        <v>6.2769713613181597E-4</v>
      </c>
    </row>
    <row r="1027" spans="1:14" x14ac:dyDescent="0.25">
      <c r="A1027" t="s">
        <v>1139</v>
      </c>
      <c r="B1027">
        <v>2740</v>
      </c>
      <c r="C1027">
        <v>558</v>
      </c>
      <c r="D1027">
        <v>8</v>
      </c>
      <c r="E1027" t="s">
        <v>28</v>
      </c>
      <c r="F1027" t="s">
        <v>29</v>
      </c>
      <c r="G1027" t="s">
        <v>16</v>
      </c>
      <c r="H1027" s="1">
        <v>45717</v>
      </c>
      <c r="I1027" t="s">
        <v>1141</v>
      </c>
      <c r="J1027" t="s">
        <v>38</v>
      </c>
      <c r="K1027" t="s">
        <v>66</v>
      </c>
      <c r="L1027" s="1">
        <v>45717</v>
      </c>
      <c r="M1027">
        <v>0.203649635036496</v>
      </c>
      <c r="N1027">
        <v>6.2769713613181597E-4</v>
      </c>
    </row>
    <row r="1028" spans="1:14" x14ac:dyDescent="0.25">
      <c r="A1028" t="s">
        <v>1142</v>
      </c>
      <c r="B1028">
        <v>5338</v>
      </c>
      <c r="C1028">
        <v>1354</v>
      </c>
      <c r="D1028">
        <v>16</v>
      </c>
      <c r="E1028" t="s">
        <v>28</v>
      </c>
      <c r="F1028" t="s">
        <v>50</v>
      </c>
      <c r="G1028" t="s">
        <v>16</v>
      </c>
      <c r="H1028" s="1">
        <v>45505</v>
      </c>
      <c r="I1028" t="s">
        <v>1143</v>
      </c>
      <c r="J1028" t="s">
        <v>21</v>
      </c>
      <c r="K1028" t="s">
        <v>138</v>
      </c>
      <c r="L1028" s="1">
        <v>45505</v>
      </c>
      <c r="M1028">
        <v>0.25365305357811901</v>
      </c>
      <c r="N1028">
        <v>1.25539427226363E-3</v>
      </c>
    </row>
    <row r="1029" spans="1:14" x14ac:dyDescent="0.25">
      <c r="A1029" t="s">
        <v>1142</v>
      </c>
      <c r="B1029">
        <v>5338</v>
      </c>
      <c r="C1029">
        <v>1354</v>
      </c>
      <c r="D1029">
        <v>16</v>
      </c>
      <c r="E1029" t="s">
        <v>28</v>
      </c>
      <c r="F1029" t="s">
        <v>50</v>
      </c>
      <c r="G1029" t="s">
        <v>16</v>
      </c>
      <c r="H1029" s="1">
        <v>45084</v>
      </c>
      <c r="I1029" t="s">
        <v>1144</v>
      </c>
      <c r="J1029" t="s">
        <v>24</v>
      </c>
      <c r="K1029" t="s">
        <v>25</v>
      </c>
      <c r="L1029" s="1">
        <v>45078</v>
      </c>
      <c r="M1029">
        <v>0.25365305357811901</v>
      </c>
      <c r="N1029">
        <v>1.25539427226363E-3</v>
      </c>
    </row>
    <row r="1030" spans="1:14" x14ac:dyDescent="0.25">
      <c r="A1030" t="s">
        <v>1142</v>
      </c>
      <c r="B1030">
        <v>5338</v>
      </c>
      <c r="C1030">
        <v>1354</v>
      </c>
      <c r="D1030">
        <v>16</v>
      </c>
      <c r="E1030" t="s">
        <v>28</v>
      </c>
      <c r="F1030" t="s">
        <v>50</v>
      </c>
      <c r="G1030" t="s">
        <v>16</v>
      </c>
      <c r="H1030" s="1">
        <v>45586</v>
      </c>
      <c r="I1030" t="s">
        <v>1145</v>
      </c>
      <c r="J1030" t="s">
        <v>18</v>
      </c>
      <c r="K1030" t="s">
        <v>32</v>
      </c>
      <c r="L1030" s="1">
        <v>45566</v>
      </c>
      <c r="M1030">
        <v>0.25365305357811901</v>
      </c>
      <c r="N1030">
        <v>1.25539427226363E-3</v>
      </c>
    </row>
    <row r="1031" spans="1:14" x14ac:dyDescent="0.25">
      <c r="A1031" t="s">
        <v>1142</v>
      </c>
      <c r="B1031">
        <v>5338</v>
      </c>
      <c r="C1031">
        <v>1354</v>
      </c>
      <c r="D1031">
        <v>16</v>
      </c>
      <c r="E1031" t="s">
        <v>28</v>
      </c>
      <c r="F1031" t="s">
        <v>50</v>
      </c>
      <c r="G1031" t="s">
        <v>16</v>
      </c>
      <c r="H1031" s="1">
        <v>44200</v>
      </c>
      <c r="I1031" t="s">
        <v>1146</v>
      </c>
      <c r="J1031" t="s">
        <v>24</v>
      </c>
      <c r="K1031" t="s">
        <v>25</v>
      </c>
      <c r="L1031" s="1">
        <v>44197</v>
      </c>
      <c r="M1031">
        <v>0.25365305357811901</v>
      </c>
      <c r="N1031">
        <v>1.25539427226363E-3</v>
      </c>
    </row>
    <row r="1032" spans="1:14" x14ac:dyDescent="0.25">
      <c r="A1032" t="s">
        <v>1147</v>
      </c>
      <c r="B1032">
        <v>3095</v>
      </c>
      <c r="C1032">
        <v>941</v>
      </c>
      <c r="D1032">
        <v>2</v>
      </c>
      <c r="E1032" t="s">
        <v>28</v>
      </c>
      <c r="F1032" t="s">
        <v>29</v>
      </c>
      <c r="G1032" t="s">
        <v>36</v>
      </c>
      <c r="H1032" s="1">
        <v>44670</v>
      </c>
      <c r="I1032" t="s">
        <v>1148</v>
      </c>
      <c r="J1032" t="s">
        <v>83</v>
      </c>
      <c r="K1032" t="s">
        <v>98</v>
      </c>
      <c r="L1032" s="1">
        <v>44652</v>
      </c>
      <c r="M1032">
        <v>0.30403877221324699</v>
      </c>
      <c r="N1032">
        <v>1.5692428403295399E-4</v>
      </c>
    </row>
    <row r="1033" spans="1:14" x14ac:dyDescent="0.25">
      <c r="A1033" t="s">
        <v>1147</v>
      </c>
      <c r="B1033">
        <v>3095</v>
      </c>
      <c r="C1033">
        <v>941</v>
      </c>
      <c r="D1033">
        <v>2</v>
      </c>
      <c r="E1033" t="s">
        <v>28</v>
      </c>
      <c r="F1033" t="s">
        <v>29</v>
      </c>
      <c r="G1033" t="s">
        <v>36</v>
      </c>
      <c r="H1033" s="1">
        <v>44784</v>
      </c>
      <c r="I1033" t="s">
        <v>1149</v>
      </c>
      <c r="J1033" t="s">
        <v>63</v>
      </c>
      <c r="K1033" t="s">
        <v>75</v>
      </c>
      <c r="L1033" s="1">
        <v>44774</v>
      </c>
      <c r="M1033">
        <v>0.30403877221324699</v>
      </c>
      <c r="N1033">
        <v>1.5692428403295399E-4</v>
      </c>
    </row>
    <row r="1034" spans="1:14" x14ac:dyDescent="0.25">
      <c r="A1034" t="s">
        <v>1150</v>
      </c>
      <c r="B1034">
        <v>6017</v>
      </c>
      <c r="C1034">
        <v>2230</v>
      </c>
      <c r="D1034">
        <v>13</v>
      </c>
      <c r="E1034" t="s">
        <v>14</v>
      </c>
      <c r="F1034" t="s">
        <v>26</v>
      </c>
      <c r="G1034" t="s">
        <v>30</v>
      </c>
      <c r="H1034" s="1">
        <v>45142</v>
      </c>
      <c r="I1034" t="s">
        <v>1151</v>
      </c>
      <c r="J1034" t="s">
        <v>21</v>
      </c>
      <c r="K1034" t="s">
        <v>138</v>
      </c>
      <c r="L1034" s="1">
        <v>45139</v>
      </c>
      <c r="M1034">
        <v>0.37061658633870698</v>
      </c>
      <c r="N1034">
        <v>1.0200078462141999E-3</v>
      </c>
    </row>
    <row r="1035" spans="1:14" x14ac:dyDescent="0.25">
      <c r="A1035" t="s">
        <v>1152</v>
      </c>
      <c r="B1035">
        <v>4904</v>
      </c>
      <c r="C1035">
        <v>469</v>
      </c>
      <c r="D1035">
        <v>2</v>
      </c>
      <c r="E1035" t="s">
        <v>28</v>
      </c>
      <c r="F1035" t="s">
        <v>29</v>
      </c>
      <c r="G1035" t="s">
        <v>30</v>
      </c>
      <c r="H1035" s="1">
        <v>43946</v>
      </c>
      <c r="I1035" t="s">
        <v>1153</v>
      </c>
      <c r="J1035" t="s">
        <v>63</v>
      </c>
      <c r="K1035" t="s">
        <v>64</v>
      </c>
      <c r="L1035" s="1">
        <v>43922</v>
      </c>
      <c r="M1035">
        <v>9.5636215334420904E-2</v>
      </c>
      <c r="N1035">
        <v>1.5692428403295399E-4</v>
      </c>
    </row>
    <row r="1036" spans="1:14" x14ac:dyDescent="0.25">
      <c r="A1036" t="s">
        <v>1152</v>
      </c>
      <c r="B1036">
        <v>3080</v>
      </c>
      <c r="C1036">
        <v>737</v>
      </c>
      <c r="D1036">
        <v>6</v>
      </c>
      <c r="E1036" t="s">
        <v>28</v>
      </c>
      <c r="F1036" t="s">
        <v>68</v>
      </c>
      <c r="G1036" t="s">
        <v>16</v>
      </c>
      <c r="H1036" s="1">
        <v>43946</v>
      </c>
      <c r="I1036" t="s">
        <v>1153</v>
      </c>
      <c r="J1036" t="s">
        <v>63</v>
      </c>
      <c r="K1036" t="s">
        <v>64</v>
      </c>
      <c r="L1036" s="1">
        <v>43922</v>
      </c>
      <c r="M1036">
        <v>0.23928571428571399</v>
      </c>
      <c r="N1036">
        <v>4.7077285209886201E-4</v>
      </c>
    </row>
    <row r="1037" spans="1:14" x14ac:dyDescent="0.25">
      <c r="A1037" t="s">
        <v>1154</v>
      </c>
      <c r="B1037">
        <v>1992</v>
      </c>
      <c r="C1037">
        <v>355</v>
      </c>
      <c r="D1037">
        <v>2</v>
      </c>
      <c r="E1037" t="s">
        <v>14</v>
      </c>
      <c r="F1037" t="s">
        <v>71</v>
      </c>
      <c r="G1037" t="s">
        <v>57</v>
      </c>
      <c r="H1037" s="1">
        <v>45640</v>
      </c>
      <c r="I1037" t="s">
        <v>1155</v>
      </c>
      <c r="J1037" t="s">
        <v>18</v>
      </c>
      <c r="K1037" t="s">
        <v>122</v>
      </c>
      <c r="L1037" s="1">
        <v>45627</v>
      </c>
      <c r="M1037">
        <v>0.17821285140562201</v>
      </c>
      <c r="N1037">
        <v>1.5692428403295399E-4</v>
      </c>
    </row>
    <row r="1038" spans="1:14" x14ac:dyDescent="0.25">
      <c r="A1038" t="s">
        <v>1156</v>
      </c>
      <c r="B1038">
        <v>5346</v>
      </c>
      <c r="C1038">
        <v>1246</v>
      </c>
      <c r="D1038">
        <v>17</v>
      </c>
      <c r="E1038" t="s">
        <v>40</v>
      </c>
      <c r="F1038" t="s">
        <v>52</v>
      </c>
      <c r="G1038" t="s">
        <v>36</v>
      </c>
      <c r="H1038" s="1">
        <v>44767</v>
      </c>
      <c r="I1038" t="s">
        <v>1157</v>
      </c>
      <c r="J1038" t="s">
        <v>18</v>
      </c>
      <c r="K1038" t="s">
        <v>32</v>
      </c>
      <c r="L1038" s="1">
        <v>44743</v>
      </c>
      <c r="M1038">
        <v>0.23307145529367801</v>
      </c>
      <c r="N1038">
        <v>1.33385641428011E-3</v>
      </c>
    </row>
    <row r="1039" spans="1:14" x14ac:dyDescent="0.25">
      <c r="A1039" t="s">
        <v>1156</v>
      </c>
      <c r="B1039">
        <v>5346</v>
      </c>
      <c r="C1039">
        <v>1246</v>
      </c>
      <c r="D1039">
        <v>17</v>
      </c>
      <c r="E1039" t="s">
        <v>40</v>
      </c>
      <c r="F1039" t="s">
        <v>52</v>
      </c>
      <c r="G1039" t="s">
        <v>36</v>
      </c>
      <c r="H1039" s="1">
        <v>44688</v>
      </c>
      <c r="I1039" t="s">
        <v>1158</v>
      </c>
      <c r="J1039" t="s">
        <v>18</v>
      </c>
      <c r="K1039" t="s">
        <v>19</v>
      </c>
      <c r="L1039" s="1">
        <v>44682</v>
      </c>
      <c r="M1039">
        <v>0.23307145529367801</v>
      </c>
      <c r="N1039">
        <v>1.33385641428011E-3</v>
      </c>
    </row>
    <row r="1040" spans="1:14" x14ac:dyDescent="0.25">
      <c r="A1040" t="s">
        <v>1159</v>
      </c>
      <c r="B1040">
        <v>8422</v>
      </c>
      <c r="C1040">
        <v>893</v>
      </c>
      <c r="D1040">
        <v>18</v>
      </c>
      <c r="E1040" t="s">
        <v>14</v>
      </c>
      <c r="F1040" t="s">
        <v>26</v>
      </c>
      <c r="G1040" t="s">
        <v>30</v>
      </c>
      <c r="H1040" s="1">
        <v>44784</v>
      </c>
      <c r="I1040" t="s">
        <v>1160</v>
      </c>
      <c r="J1040" t="s">
        <v>38</v>
      </c>
      <c r="K1040" t="s">
        <v>79</v>
      </c>
      <c r="L1040" s="1">
        <v>44774</v>
      </c>
      <c r="M1040">
        <v>0.10603182142009</v>
      </c>
      <c r="N1040">
        <v>1.41231855629659E-3</v>
      </c>
    </row>
    <row r="1041" spans="1:14" x14ac:dyDescent="0.25">
      <c r="A1041" t="s">
        <v>1159</v>
      </c>
      <c r="B1041">
        <v>8422</v>
      </c>
      <c r="C1041">
        <v>893</v>
      </c>
      <c r="D1041">
        <v>18</v>
      </c>
      <c r="E1041" t="s">
        <v>14</v>
      </c>
      <c r="F1041" t="s">
        <v>26</v>
      </c>
      <c r="G1041" t="s">
        <v>30</v>
      </c>
      <c r="H1041" s="1">
        <v>44785</v>
      </c>
      <c r="I1041" t="s">
        <v>1161</v>
      </c>
      <c r="J1041" t="s">
        <v>83</v>
      </c>
      <c r="K1041" t="s">
        <v>84</v>
      </c>
      <c r="L1041" s="1">
        <v>44774</v>
      </c>
      <c r="M1041">
        <v>0.10603182142009</v>
      </c>
      <c r="N1041">
        <v>1.41231855629659E-3</v>
      </c>
    </row>
    <row r="1042" spans="1:14" x14ac:dyDescent="0.25">
      <c r="A1042" t="s">
        <v>1159</v>
      </c>
      <c r="B1042">
        <v>6105</v>
      </c>
      <c r="C1042">
        <v>1447</v>
      </c>
      <c r="D1042">
        <v>8</v>
      </c>
      <c r="E1042" t="s">
        <v>40</v>
      </c>
      <c r="F1042" t="s">
        <v>91</v>
      </c>
      <c r="G1042" t="s">
        <v>42</v>
      </c>
      <c r="H1042" s="1">
        <v>44784</v>
      </c>
      <c r="I1042" t="s">
        <v>1160</v>
      </c>
      <c r="J1042" t="s">
        <v>38</v>
      </c>
      <c r="K1042" t="s">
        <v>79</v>
      </c>
      <c r="L1042" s="1">
        <v>44774</v>
      </c>
      <c r="M1042">
        <v>0.237018837018837</v>
      </c>
      <c r="N1042">
        <v>6.2769713613181597E-4</v>
      </c>
    </row>
    <row r="1043" spans="1:14" x14ac:dyDescent="0.25">
      <c r="A1043" t="s">
        <v>1159</v>
      </c>
      <c r="B1043">
        <v>6105</v>
      </c>
      <c r="C1043">
        <v>1447</v>
      </c>
      <c r="D1043">
        <v>8</v>
      </c>
      <c r="E1043" t="s">
        <v>40</v>
      </c>
      <c r="F1043" t="s">
        <v>91</v>
      </c>
      <c r="G1043" t="s">
        <v>42</v>
      </c>
      <c r="H1043" s="1">
        <v>44785</v>
      </c>
      <c r="I1043" t="s">
        <v>1161</v>
      </c>
      <c r="J1043" t="s">
        <v>83</v>
      </c>
      <c r="K1043" t="s">
        <v>84</v>
      </c>
      <c r="L1043" s="1">
        <v>44774</v>
      </c>
      <c r="M1043">
        <v>0.237018837018837</v>
      </c>
      <c r="N1043">
        <v>6.2769713613181597E-4</v>
      </c>
    </row>
    <row r="1044" spans="1:14" x14ac:dyDescent="0.25">
      <c r="A1044" t="s">
        <v>1162</v>
      </c>
      <c r="B1044">
        <v>670</v>
      </c>
      <c r="C1044">
        <v>85</v>
      </c>
      <c r="D1044">
        <v>9</v>
      </c>
      <c r="E1044" t="s">
        <v>28</v>
      </c>
      <c r="F1044" t="s">
        <v>29</v>
      </c>
      <c r="G1044" t="s">
        <v>36</v>
      </c>
      <c r="H1044" s="1">
        <v>45159</v>
      </c>
      <c r="I1044" t="s">
        <v>1163</v>
      </c>
      <c r="J1044" t="s">
        <v>63</v>
      </c>
      <c r="K1044" t="s">
        <v>112</v>
      </c>
      <c r="L1044" s="1">
        <v>45139</v>
      </c>
      <c r="M1044">
        <v>0.12686567164179099</v>
      </c>
      <c r="N1044">
        <v>7.0615927814829404E-4</v>
      </c>
    </row>
    <row r="1045" spans="1:14" x14ac:dyDescent="0.25">
      <c r="A1045" t="s">
        <v>1164</v>
      </c>
      <c r="B1045">
        <v>4057</v>
      </c>
      <c r="C1045">
        <v>1012</v>
      </c>
      <c r="D1045">
        <v>6</v>
      </c>
      <c r="E1045" t="s">
        <v>14</v>
      </c>
      <c r="F1045" t="s">
        <v>35</v>
      </c>
      <c r="G1045" t="s">
        <v>42</v>
      </c>
      <c r="H1045" s="1">
        <v>44816</v>
      </c>
      <c r="I1045" t="s">
        <v>1165</v>
      </c>
      <c r="J1045" t="s">
        <v>38</v>
      </c>
      <c r="K1045" t="s">
        <v>66</v>
      </c>
      <c r="L1045" s="1">
        <v>44805</v>
      </c>
      <c r="M1045">
        <v>0.24944540300714799</v>
      </c>
      <c r="N1045">
        <v>4.7077285209886201E-4</v>
      </c>
    </row>
    <row r="1046" spans="1:14" x14ac:dyDescent="0.25">
      <c r="A1046" t="s">
        <v>1166</v>
      </c>
      <c r="B1046">
        <v>8178</v>
      </c>
      <c r="C1046">
        <v>2462</v>
      </c>
      <c r="D1046">
        <v>10</v>
      </c>
      <c r="E1046" t="s">
        <v>28</v>
      </c>
      <c r="F1046" t="s">
        <v>29</v>
      </c>
      <c r="G1046" t="s">
        <v>16</v>
      </c>
      <c r="H1046" s="1">
        <v>45158</v>
      </c>
      <c r="I1046" t="s">
        <v>1167</v>
      </c>
      <c r="J1046" t="s">
        <v>38</v>
      </c>
      <c r="K1046" t="s">
        <v>39</v>
      </c>
      <c r="L1046" s="1">
        <v>45139</v>
      </c>
      <c r="M1046">
        <v>0.30105160185864499</v>
      </c>
      <c r="N1046">
        <v>7.8462142016477005E-4</v>
      </c>
    </row>
    <row r="1047" spans="1:14" x14ac:dyDescent="0.25">
      <c r="A1047" t="s">
        <v>1168</v>
      </c>
      <c r="B1047">
        <v>8752</v>
      </c>
      <c r="C1047">
        <v>1686</v>
      </c>
      <c r="D1047">
        <v>9</v>
      </c>
      <c r="E1047" t="s">
        <v>40</v>
      </c>
      <c r="F1047" t="s">
        <v>41</v>
      </c>
      <c r="G1047" t="s">
        <v>30</v>
      </c>
      <c r="H1047" s="1">
        <v>44192</v>
      </c>
      <c r="I1047" t="s">
        <v>1169</v>
      </c>
      <c r="J1047" t="s">
        <v>83</v>
      </c>
      <c r="K1047" t="s">
        <v>90</v>
      </c>
      <c r="L1047" s="1">
        <v>44166</v>
      </c>
      <c r="M1047">
        <v>0.19264168190128</v>
      </c>
      <c r="N1047">
        <v>7.0615927814829404E-4</v>
      </c>
    </row>
    <row r="1048" spans="1:14" x14ac:dyDescent="0.25">
      <c r="A1048" t="s">
        <v>1168</v>
      </c>
      <c r="B1048">
        <v>8752</v>
      </c>
      <c r="C1048">
        <v>1686</v>
      </c>
      <c r="D1048">
        <v>9</v>
      </c>
      <c r="E1048" t="s">
        <v>40</v>
      </c>
      <c r="F1048" t="s">
        <v>41</v>
      </c>
      <c r="G1048" t="s">
        <v>30</v>
      </c>
      <c r="H1048" s="1">
        <v>45173</v>
      </c>
      <c r="I1048" t="s">
        <v>1170</v>
      </c>
      <c r="J1048" t="s">
        <v>21</v>
      </c>
      <c r="K1048" t="s">
        <v>138</v>
      </c>
      <c r="L1048" s="1">
        <v>45170</v>
      </c>
      <c r="M1048">
        <v>0.19264168190128</v>
      </c>
      <c r="N1048">
        <v>7.0615927814829404E-4</v>
      </c>
    </row>
    <row r="1049" spans="1:14" x14ac:dyDescent="0.25">
      <c r="A1049" t="s">
        <v>1168</v>
      </c>
      <c r="B1049">
        <v>8752</v>
      </c>
      <c r="C1049">
        <v>1686</v>
      </c>
      <c r="D1049">
        <v>9</v>
      </c>
      <c r="E1049" t="s">
        <v>40</v>
      </c>
      <c r="F1049" t="s">
        <v>41</v>
      </c>
      <c r="G1049" t="s">
        <v>30</v>
      </c>
      <c r="H1049" s="1">
        <v>44569</v>
      </c>
      <c r="I1049" t="s">
        <v>1171</v>
      </c>
      <c r="J1049" t="s">
        <v>21</v>
      </c>
      <c r="K1049" t="s">
        <v>22</v>
      </c>
      <c r="L1049" s="1">
        <v>44562</v>
      </c>
      <c r="M1049">
        <v>0.19264168190128</v>
      </c>
      <c r="N1049">
        <v>7.0615927814829404E-4</v>
      </c>
    </row>
    <row r="1050" spans="1:14" x14ac:dyDescent="0.25">
      <c r="A1050" t="s">
        <v>1172</v>
      </c>
      <c r="B1050">
        <v>8974</v>
      </c>
      <c r="C1050">
        <v>4441</v>
      </c>
      <c r="D1050">
        <v>16</v>
      </c>
      <c r="E1050" t="s">
        <v>14</v>
      </c>
      <c r="F1050" t="s">
        <v>26</v>
      </c>
      <c r="G1050" t="s">
        <v>36</v>
      </c>
      <c r="H1050" s="1">
        <v>45082</v>
      </c>
      <c r="I1050" t="s">
        <v>1173</v>
      </c>
      <c r="J1050" t="s">
        <v>24</v>
      </c>
      <c r="K1050" t="s">
        <v>46</v>
      </c>
      <c r="L1050" s="1">
        <v>45078</v>
      </c>
      <c r="M1050">
        <v>0.49487408067751298</v>
      </c>
      <c r="N1050">
        <v>1.25539427226363E-3</v>
      </c>
    </row>
    <row r="1051" spans="1:14" x14ac:dyDescent="0.25">
      <c r="A1051" t="s">
        <v>1174</v>
      </c>
      <c r="B1051">
        <v>9090</v>
      </c>
      <c r="C1051">
        <v>3098</v>
      </c>
      <c r="D1051">
        <v>16</v>
      </c>
      <c r="E1051" t="s">
        <v>14</v>
      </c>
      <c r="F1051" t="s">
        <v>71</v>
      </c>
      <c r="G1051" t="s">
        <v>42</v>
      </c>
      <c r="H1051" s="1">
        <v>44287</v>
      </c>
      <c r="I1051" t="s">
        <v>1175</v>
      </c>
      <c r="J1051" t="s">
        <v>63</v>
      </c>
      <c r="K1051" t="s">
        <v>64</v>
      </c>
      <c r="L1051" s="1">
        <v>44287</v>
      </c>
      <c r="M1051">
        <v>0.34081408140814101</v>
      </c>
      <c r="N1051">
        <v>1.25539427226363E-3</v>
      </c>
    </row>
    <row r="1052" spans="1:14" x14ac:dyDescent="0.25">
      <c r="A1052" t="s">
        <v>1174</v>
      </c>
      <c r="B1052">
        <v>9090</v>
      </c>
      <c r="C1052">
        <v>3098</v>
      </c>
      <c r="D1052">
        <v>16</v>
      </c>
      <c r="E1052" t="s">
        <v>14</v>
      </c>
      <c r="F1052" t="s">
        <v>71</v>
      </c>
      <c r="G1052" t="s">
        <v>42</v>
      </c>
      <c r="H1052" s="1">
        <v>45440</v>
      </c>
      <c r="I1052" t="s">
        <v>1176</v>
      </c>
      <c r="J1052" t="s">
        <v>21</v>
      </c>
      <c r="K1052" t="s">
        <v>55</v>
      </c>
      <c r="L1052" s="1">
        <v>45413</v>
      </c>
      <c r="M1052">
        <v>0.34081408140814101</v>
      </c>
      <c r="N1052">
        <v>1.25539427226363E-3</v>
      </c>
    </row>
    <row r="1053" spans="1:14" x14ac:dyDescent="0.25">
      <c r="A1053" t="s">
        <v>1174</v>
      </c>
      <c r="B1053">
        <v>851</v>
      </c>
      <c r="C1053">
        <v>356</v>
      </c>
      <c r="D1053">
        <v>11</v>
      </c>
      <c r="E1053" t="s">
        <v>14</v>
      </c>
      <c r="F1053" t="s">
        <v>15</v>
      </c>
      <c r="G1053" t="s">
        <v>42</v>
      </c>
      <c r="H1053" s="1">
        <v>44287</v>
      </c>
      <c r="I1053" t="s">
        <v>1175</v>
      </c>
      <c r="J1053" t="s">
        <v>63</v>
      </c>
      <c r="K1053" t="s">
        <v>64</v>
      </c>
      <c r="L1053" s="1">
        <v>44287</v>
      </c>
      <c r="M1053">
        <v>0.418331374853114</v>
      </c>
      <c r="N1053">
        <v>8.6308356218124801E-4</v>
      </c>
    </row>
    <row r="1054" spans="1:14" x14ac:dyDescent="0.25">
      <c r="A1054" t="s">
        <v>1174</v>
      </c>
      <c r="B1054">
        <v>851</v>
      </c>
      <c r="C1054">
        <v>356</v>
      </c>
      <c r="D1054">
        <v>11</v>
      </c>
      <c r="E1054" t="s">
        <v>14</v>
      </c>
      <c r="F1054" t="s">
        <v>15</v>
      </c>
      <c r="G1054" t="s">
        <v>42</v>
      </c>
      <c r="H1054" s="1">
        <v>45440</v>
      </c>
      <c r="I1054" t="s">
        <v>1176</v>
      </c>
      <c r="J1054" t="s">
        <v>21</v>
      </c>
      <c r="K1054" t="s">
        <v>55</v>
      </c>
      <c r="L1054" s="1">
        <v>45413</v>
      </c>
      <c r="M1054">
        <v>0.418331374853114</v>
      </c>
      <c r="N1054">
        <v>8.6308356218124801E-4</v>
      </c>
    </row>
    <row r="1055" spans="1:14" x14ac:dyDescent="0.25">
      <c r="A1055" t="s">
        <v>1177</v>
      </c>
      <c r="B1055">
        <v>5427</v>
      </c>
      <c r="C1055">
        <v>728</v>
      </c>
      <c r="D1055">
        <v>3</v>
      </c>
      <c r="E1055" t="s">
        <v>14</v>
      </c>
      <c r="F1055" t="s">
        <v>71</v>
      </c>
      <c r="G1055" t="s">
        <v>16</v>
      </c>
      <c r="H1055" s="1">
        <v>44994</v>
      </c>
      <c r="I1055" t="s">
        <v>1178</v>
      </c>
      <c r="J1055" t="s">
        <v>18</v>
      </c>
      <c r="K1055" t="s">
        <v>19</v>
      </c>
      <c r="L1055" s="1">
        <v>44986</v>
      </c>
      <c r="M1055">
        <v>0.13414409434309901</v>
      </c>
      <c r="N1055">
        <v>2.35386426049431E-4</v>
      </c>
    </row>
    <row r="1056" spans="1:14" x14ac:dyDescent="0.25">
      <c r="A1056" t="s">
        <v>1179</v>
      </c>
      <c r="B1056">
        <v>2695</v>
      </c>
      <c r="C1056">
        <v>914</v>
      </c>
      <c r="D1056">
        <v>15</v>
      </c>
      <c r="E1056" t="s">
        <v>40</v>
      </c>
      <c r="F1056" t="s">
        <v>91</v>
      </c>
      <c r="G1056" t="s">
        <v>30</v>
      </c>
      <c r="H1056" s="1">
        <v>44770</v>
      </c>
      <c r="I1056" t="s">
        <v>1180</v>
      </c>
      <c r="J1056" t="s">
        <v>21</v>
      </c>
      <c r="K1056" t="s">
        <v>138</v>
      </c>
      <c r="L1056" s="1">
        <v>44743</v>
      </c>
      <c r="M1056">
        <v>0.33914656771799601</v>
      </c>
      <c r="N1056">
        <v>1.17693213024716E-3</v>
      </c>
    </row>
    <row r="1057" spans="1:14" x14ac:dyDescent="0.25">
      <c r="A1057" t="s">
        <v>1179</v>
      </c>
      <c r="B1057">
        <v>2695</v>
      </c>
      <c r="C1057">
        <v>914</v>
      </c>
      <c r="D1057">
        <v>15</v>
      </c>
      <c r="E1057" t="s">
        <v>40</v>
      </c>
      <c r="F1057" t="s">
        <v>91</v>
      </c>
      <c r="G1057" t="s">
        <v>30</v>
      </c>
      <c r="H1057" s="1">
        <v>44364</v>
      </c>
      <c r="I1057" t="s">
        <v>1181</v>
      </c>
      <c r="J1057" t="s">
        <v>38</v>
      </c>
      <c r="K1057" t="s">
        <v>39</v>
      </c>
      <c r="L1057" s="1">
        <v>44348</v>
      </c>
      <c r="M1057">
        <v>0.33914656771799601</v>
      </c>
      <c r="N1057">
        <v>1.17693213024716E-3</v>
      </c>
    </row>
    <row r="1058" spans="1:14" x14ac:dyDescent="0.25">
      <c r="A1058" t="s">
        <v>1182</v>
      </c>
      <c r="B1058">
        <v>2386</v>
      </c>
      <c r="C1058">
        <v>999</v>
      </c>
      <c r="D1058">
        <v>3</v>
      </c>
      <c r="E1058" t="s">
        <v>28</v>
      </c>
      <c r="F1058" t="s">
        <v>29</v>
      </c>
      <c r="G1058" t="s">
        <v>57</v>
      </c>
      <c r="H1058" s="1">
        <v>45335</v>
      </c>
      <c r="I1058" t="s">
        <v>1183</v>
      </c>
      <c r="J1058" t="s">
        <v>18</v>
      </c>
      <c r="K1058" t="s">
        <v>19</v>
      </c>
      <c r="L1058" s="1">
        <v>45323</v>
      </c>
      <c r="M1058">
        <v>0.41869237217099797</v>
      </c>
      <c r="N1058">
        <v>2.35386426049431E-4</v>
      </c>
    </row>
    <row r="1059" spans="1:14" x14ac:dyDescent="0.25">
      <c r="A1059" t="s">
        <v>1184</v>
      </c>
      <c r="B1059">
        <v>2284</v>
      </c>
      <c r="C1059">
        <v>149</v>
      </c>
      <c r="D1059">
        <v>20</v>
      </c>
      <c r="E1059" t="s">
        <v>28</v>
      </c>
      <c r="F1059" t="s">
        <v>29</v>
      </c>
      <c r="G1059" t="s">
        <v>30</v>
      </c>
      <c r="H1059" s="1">
        <v>44414</v>
      </c>
      <c r="I1059" t="s">
        <v>1185</v>
      </c>
      <c r="J1059" t="s">
        <v>24</v>
      </c>
      <c r="K1059" t="s">
        <v>60</v>
      </c>
      <c r="L1059" s="1">
        <v>44409</v>
      </c>
      <c r="M1059">
        <v>6.5236427320490398E-2</v>
      </c>
      <c r="N1059">
        <v>1.5692428403295401E-3</v>
      </c>
    </row>
    <row r="1060" spans="1:14" x14ac:dyDescent="0.25">
      <c r="A1060" t="s">
        <v>1186</v>
      </c>
      <c r="B1060">
        <v>6034</v>
      </c>
      <c r="C1060">
        <v>608</v>
      </c>
      <c r="D1060">
        <v>8</v>
      </c>
      <c r="E1060" t="s">
        <v>14</v>
      </c>
      <c r="F1060" t="s">
        <v>71</v>
      </c>
      <c r="G1060" t="s">
        <v>36</v>
      </c>
      <c r="H1060" s="1">
        <v>44682</v>
      </c>
      <c r="I1060" t="s">
        <v>1187</v>
      </c>
      <c r="J1060" t="s">
        <v>63</v>
      </c>
      <c r="K1060" t="s">
        <v>112</v>
      </c>
      <c r="L1060" s="1">
        <v>44682</v>
      </c>
      <c r="M1060">
        <v>0.100762346702022</v>
      </c>
      <c r="N1060">
        <v>6.2769713613181597E-4</v>
      </c>
    </row>
    <row r="1061" spans="1:14" x14ac:dyDescent="0.25">
      <c r="A1061" t="s">
        <v>1186</v>
      </c>
      <c r="B1061">
        <v>8956</v>
      </c>
      <c r="C1061">
        <v>3359</v>
      </c>
      <c r="D1061">
        <v>13</v>
      </c>
      <c r="E1061" t="s">
        <v>40</v>
      </c>
      <c r="F1061" t="s">
        <v>91</v>
      </c>
      <c r="G1061" t="s">
        <v>42</v>
      </c>
      <c r="H1061" s="1">
        <v>44682</v>
      </c>
      <c r="I1061" t="s">
        <v>1187</v>
      </c>
      <c r="J1061" t="s">
        <v>63</v>
      </c>
      <c r="K1061" t="s">
        <v>112</v>
      </c>
      <c r="L1061" s="1">
        <v>44682</v>
      </c>
      <c r="M1061">
        <v>0.37505582849486402</v>
      </c>
      <c r="N1061">
        <v>1.0200078462141999E-3</v>
      </c>
    </row>
    <row r="1062" spans="1:14" x14ac:dyDescent="0.25">
      <c r="A1062" t="s">
        <v>1188</v>
      </c>
      <c r="B1062">
        <v>7122</v>
      </c>
      <c r="C1062">
        <v>1982</v>
      </c>
      <c r="D1062">
        <v>7</v>
      </c>
      <c r="E1062" t="s">
        <v>28</v>
      </c>
      <c r="F1062" t="s">
        <v>50</v>
      </c>
      <c r="G1062" t="s">
        <v>36</v>
      </c>
      <c r="H1062" s="1">
        <v>45362</v>
      </c>
      <c r="I1062" t="s">
        <v>1189</v>
      </c>
      <c r="J1062" t="s">
        <v>21</v>
      </c>
      <c r="K1062" t="s">
        <v>138</v>
      </c>
      <c r="L1062" s="1">
        <v>45352</v>
      </c>
      <c r="M1062">
        <v>0.27829261443414799</v>
      </c>
      <c r="N1062">
        <v>5.4923499411533899E-4</v>
      </c>
    </row>
    <row r="1063" spans="1:14" x14ac:dyDescent="0.25">
      <c r="A1063" t="s">
        <v>1190</v>
      </c>
      <c r="B1063">
        <v>9775</v>
      </c>
      <c r="C1063">
        <v>4507</v>
      </c>
      <c r="D1063">
        <v>5</v>
      </c>
      <c r="E1063" t="s">
        <v>28</v>
      </c>
      <c r="F1063" t="s">
        <v>50</v>
      </c>
      <c r="G1063" t="s">
        <v>16</v>
      </c>
      <c r="H1063" s="1">
        <v>44018</v>
      </c>
      <c r="I1063" t="s">
        <v>1191</v>
      </c>
      <c r="J1063" t="s">
        <v>83</v>
      </c>
      <c r="K1063" t="s">
        <v>90</v>
      </c>
      <c r="L1063" s="1">
        <v>44013</v>
      </c>
      <c r="M1063">
        <v>0.46107416879795399</v>
      </c>
      <c r="N1063">
        <v>3.9231071008238503E-4</v>
      </c>
    </row>
    <row r="1064" spans="1:14" x14ac:dyDescent="0.25">
      <c r="A1064" t="s">
        <v>1192</v>
      </c>
      <c r="B1064">
        <v>3309</v>
      </c>
      <c r="C1064">
        <v>177</v>
      </c>
      <c r="D1064">
        <v>13</v>
      </c>
      <c r="E1064" t="s">
        <v>40</v>
      </c>
      <c r="F1064" t="s">
        <v>91</v>
      </c>
      <c r="G1064" t="s">
        <v>36</v>
      </c>
      <c r="H1064" s="1">
        <v>44182</v>
      </c>
      <c r="I1064" t="s">
        <v>1193</v>
      </c>
      <c r="J1064" t="s">
        <v>83</v>
      </c>
      <c r="K1064" t="s">
        <v>98</v>
      </c>
      <c r="L1064" s="1">
        <v>44166</v>
      </c>
      <c r="M1064">
        <v>5.3490480507706301E-2</v>
      </c>
      <c r="N1064">
        <v>1.0200078462141999E-3</v>
      </c>
    </row>
    <row r="1065" spans="1:14" x14ac:dyDescent="0.25">
      <c r="A1065" t="s">
        <v>1194</v>
      </c>
      <c r="B1065">
        <v>4163</v>
      </c>
      <c r="C1065">
        <v>897</v>
      </c>
      <c r="D1065">
        <v>14</v>
      </c>
      <c r="E1065" t="s">
        <v>14</v>
      </c>
      <c r="F1065" t="s">
        <v>15</v>
      </c>
      <c r="G1065" t="s">
        <v>57</v>
      </c>
      <c r="H1065" s="1">
        <v>44803</v>
      </c>
      <c r="I1065" t="s">
        <v>1195</v>
      </c>
      <c r="J1065" t="s">
        <v>21</v>
      </c>
      <c r="K1065" t="s">
        <v>55</v>
      </c>
      <c r="L1065" s="1">
        <v>44774</v>
      </c>
      <c r="M1065">
        <v>0.21546961325966801</v>
      </c>
      <c r="N1065">
        <v>1.0984699882306799E-3</v>
      </c>
    </row>
    <row r="1066" spans="1:14" x14ac:dyDescent="0.25">
      <c r="A1066" t="s">
        <v>1194</v>
      </c>
      <c r="B1066">
        <v>4163</v>
      </c>
      <c r="C1066">
        <v>897</v>
      </c>
      <c r="D1066">
        <v>14</v>
      </c>
      <c r="E1066" t="s">
        <v>14</v>
      </c>
      <c r="F1066" t="s">
        <v>15</v>
      </c>
      <c r="G1066" t="s">
        <v>57</v>
      </c>
      <c r="H1066" s="1">
        <v>45715</v>
      </c>
      <c r="I1066" t="s">
        <v>1196</v>
      </c>
      <c r="J1066" t="s">
        <v>83</v>
      </c>
      <c r="K1066" t="s">
        <v>98</v>
      </c>
      <c r="L1066" s="1">
        <v>45689</v>
      </c>
      <c r="M1066">
        <v>0.21546961325966801</v>
      </c>
      <c r="N1066">
        <v>1.0984699882306799E-3</v>
      </c>
    </row>
    <row r="1067" spans="1:14" x14ac:dyDescent="0.25">
      <c r="A1067" t="s">
        <v>1194</v>
      </c>
      <c r="B1067">
        <v>4163</v>
      </c>
      <c r="C1067">
        <v>897</v>
      </c>
      <c r="D1067">
        <v>14</v>
      </c>
      <c r="E1067" t="s">
        <v>14</v>
      </c>
      <c r="F1067" t="s">
        <v>15</v>
      </c>
      <c r="G1067" t="s">
        <v>57</v>
      </c>
      <c r="H1067" s="1">
        <v>44352</v>
      </c>
      <c r="I1067" t="s">
        <v>1197</v>
      </c>
      <c r="J1067" t="s">
        <v>18</v>
      </c>
      <c r="K1067" t="s">
        <v>32</v>
      </c>
      <c r="L1067" s="1">
        <v>44348</v>
      </c>
      <c r="M1067">
        <v>0.21546961325966801</v>
      </c>
      <c r="N1067">
        <v>1.0984699882306799E-3</v>
      </c>
    </row>
    <row r="1068" spans="1:14" x14ac:dyDescent="0.25">
      <c r="A1068" t="s">
        <v>1198</v>
      </c>
      <c r="B1068">
        <v>5518</v>
      </c>
      <c r="C1068">
        <v>867</v>
      </c>
      <c r="D1068">
        <v>7</v>
      </c>
      <c r="E1068" t="s">
        <v>40</v>
      </c>
      <c r="F1068" t="s">
        <v>52</v>
      </c>
      <c r="G1068" t="s">
        <v>16</v>
      </c>
      <c r="H1068" s="1">
        <v>44917</v>
      </c>
      <c r="I1068" t="s">
        <v>1199</v>
      </c>
      <c r="J1068" t="s">
        <v>63</v>
      </c>
      <c r="K1068" t="s">
        <v>112</v>
      </c>
      <c r="L1068" s="1">
        <v>44896</v>
      </c>
      <c r="M1068">
        <v>0.15712214570496599</v>
      </c>
      <c r="N1068">
        <v>5.4923499411533899E-4</v>
      </c>
    </row>
    <row r="1069" spans="1:14" x14ac:dyDescent="0.25">
      <c r="A1069" t="s">
        <v>1200</v>
      </c>
      <c r="B1069">
        <v>7566</v>
      </c>
      <c r="C1069">
        <v>606</v>
      </c>
      <c r="D1069">
        <v>6</v>
      </c>
      <c r="E1069" t="s">
        <v>14</v>
      </c>
      <c r="F1069" t="s">
        <v>71</v>
      </c>
      <c r="G1069" t="s">
        <v>30</v>
      </c>
      <c r="H1069" s="1">
        <v>45682</v>
      </c>
      <c r="I1069" t="s">
        <v>1201</v>
      </c>
      <c r="J1069" t="s">
        <v>83</v>
      </c>
      <c r="K1069" t="s">
        <v>84</v>
      </c>
      <c r="L1069" s="1">
        <v>45658</v>
      </c>
      <c r="M1069">
        <v>8.0095162569389394E-2</v>
      </c>
      <c r="N1069">
        <v>4.7077285209886201E-4</v>
      </c>
    </row>
    <row r="1070" spans="1:14" x14ac:dyDescent="0.25">
      <c r="A1070" t="s">
        <v>1200</v>
      </c>
      <c r="B1070">
        <v>7566</v>
      </c>
      <c r="C1070">
        <v>606</v>
      </c>
      <c r="D1070">
        <v>6</v>
      </c>
      <c r="E1070" t="s">
        <v>14</v>
      </c>
      <c r="F1070" t="s">
        <v>71</v>
      </c>
      <c r="G1070" t="s">
        <v>30</v>
      </c>
      <c r="H1070" s="1">
        <v>45702</v>
      </c>
      <c r="I1070" t="s">
        <v>1202</v>
      </c>
      <c r="J1070" t="s">
        <v>38</v>
      </c>
      <c r="K1070" t="s">
        <v>66</v>
      </c>
      <c r="L1070" s="1">
        <v>45689</v>
      </c>
      <c r="M1070">
        <v>8.0095162569389394E-2</v>
      </c>
      <c r="N1070">
        <v>4.7077285209886201E-4</v>
      </c>
    </row>
    <row r="1071" spans="1:14" x14ac:dyDescent="0.25">
      <c r="A1071" t="s">
        <v>1203</v>
      </c>
      <c r="B1071">
        <v>762</v>
      </c>
      <c r="C1071">
        <v>92</v>
      </c>
      <c r="D1071">
        <v>11</v>
      </c>
      <c r="E1071" t="s">
        <v>14</v>
      </c>
      <c r="F1071" t="s">
        <v>26</v>
      </c>
      <c r="G1071" t="s">
        <v>57</v>
      </c>
      <c r="H1071" s="1">
        <v>44932</v>
      </c>
      <c r="I1071" t="s">
        <v>1204</v>
      </c>
      <c r="J1071" t="s">
        <v>21</v>
      </c>
      <c r="K1071" t="s">
        <v>55</v>
      </c>
      <c r="L1071" s="1">
        <v>44927</v>
      </c>
      <c r="M1071">
        <v>0.12073490813648299</v>
      </c>
      <c r="N1071">
        <v>8.6308356218124801E-4</v>
      </c>
    </row>
    <row r="1072" spans="1:14" x14ac:dyDescent="0.25">
      <c r="A1072" t="s">
        <v>1205</v>
      </c>
      <c r="B1072">
        <v>3316</v>
      </c>
      <c r="C1072">
        <v>126</v>
      </c>
      <c r="D1072">
        <v>6</v>
      </c>
      <c r="E1072" t="s">
        <v>14</v>
      </c>
      <c r="F1072" t="s">
        <v>35</v>
      </c>
      <c r="G1072" t="s">
        <v>57</v>
      </c>
      <c r="H1072" s="1">
        <v>44115</v>
      </c>
      <c r="I1072" t="s">
        <v>1206</v>
      </c>
      <c r="J1072" t="s">
        <v>83</v>
      </c>
      <c r="K1072" t="s">
        <v>90</v>
      </c>
      <c r="L1072" s="1">
        <v>44105</v>
      </c>
      <c r="M1072">
        <v>3.7997587454764802E-2</v>
      </c>
      <c r="N1072">
        <v>4.7077285209886201E-4</v>
      </c>
    </row>
    <row r="1073" spans="1:14" x14ac:dyDescent="0.25">
      <c r="A1073" t="s">
        <v>1207</v>
      </c>
      <c r="B1073">
        <v>5994</v>
      </c>
      <c r="C1073">
        <v>2826</v>
      </c>
      <c r="D1073">
        <v>9</v>
      </c>
      <c r="E1073" t="s">
        <v>40</v>
      </c>
      <c r="F1073" t="s">
        <v>91</v>
      </c>
      <c r="G1073" t="s">
        <v>36</v>
      </c>
      <c r="H1073" s="1">
        <v>45070</v>
      </c>
      <c r="I1073" t="s">
        <v>1208</v>
      </c>
      <c r="J1073" t="s">
        <v>38</v>
      </c>
      <c r="K1073" t="s">
        <v>79</v>
      </c>
      <c r="L1073" s="1">
        <v>45047</v>
      </c>
      <c r="M1073">
        <v>0.471471471471471</v>
      </c>
      <c r="N1073">
        <v>7.0615927814829404E-4</v>
      </c>
    </row>
    <row r="1074" spans="1:14" x14ac:dyDescent="0.25">
      <c r="A1074" t="s">
        <v>1207</v>
      </c>
      <c r="B1074">
        <v>5994</v>
      </c>
      <c r="C1074">
        <v>2826</v>
      </c>
      <c r="D1074">
        <v>9</v>
      </c>
      <c r="E1074" t="s">
        <v>40</v>
      </c>
      <c r="F1074" t="s">
        <v>91</v>
      </c>
      <c r="G1074" t="s">
        <v>36</v>
      </c>
      <c r="H1074" s="1">
        <v>45363</v>
      </c>
      <c r="I1074" t="s">
        <v>1209</v>
      </c>
      <c r="J1074" t="s">
        <v>38</v>
      </c>
      <c r="K1074" t="s">
        <v>39</v>
      </c>
      <c r="L1074" s="1">
        <v>45352</v>
      </c>
      <c r="M1074">
        <v>0.471471471471471</v>
      </c>
      <c r="N1074">
        <v>7.0615927814829404E-4</v>
      </c>
    </row>
    <row r="1075" spans="1:14" x14ac:dyDescent="0.25">
      <c r="A1075" t="s">
        <v>1207</v>
      </c>
      <c r="B1075">
        <v>5994</v>
      </c>
      <c r="C1075">
        <v>2826</v>
      </c>
      <c r="D1075">
        <v>9</v>
      </c>
      <c r="E1075" t="s">
        <v>40</v>
      </c>
      <c r="F1075" t="s">
        <v>91</v>
      </c>
      <c r="G1075" t="s">
        <v>36</v>
      </c>
      <c r="H1075" s="1">
        <v>45368</v>
      </c>
      <c r="I1075" t="s">
        <v>1210</v>
      </c>
      <c r="J1075" t="s">
        <v>24</v>
      </c>
      <c r="K1075" t="s">
        <v>46</v>
      </c>
      <c r="L1075" s="1">
        <v>45352</v>
      </c>
      <c r="M1075">
        <v>0.471471471471471</v>
      </c>
      <c r="N1075">
        <v>7.0615927814829404E-4</v>
      </c>
    </row>
    <row r="1076" spans="1:14" x14ac:dyDescent="0.25">
      <c r="A1076" t="s">
        <v>1211</v>
      </c>
      <c r="B1076">
        <v>3854</v>
      </c>
      <c r="C1076">
        <v>245</v>
      </c>
      <c r="D1076">
        <v>19</v>
      </c>
      <c r="E1076" t="s">
        <v>14</v>
      </c>
      <c r="F1076" t="s">
        <v>35</v>
      </c>
      <c r="G1076" t="s">
        <v>57</v>
      </c>
      <c r="H1076" s="1">
        <v>44698</v>
      </c>
      <c r="I1076" t="s">
        <v>1212</v>
      </c>
      <c r="J1076" t="s">
        <v>83</v>
      </c>
      <c r="K1076" t="s">
        <v>84</v>
      </c>
      <c r="L1076" s="1">
        <v>44682</v>
      </c>
      <c r="M1076">
        <v>6.35703165542294E-2</v>
      </c>
      <c r="N1076">
        <v>1.4907806983130601E-3</v>
      </c>
    </row>
    <row r="1077" spans="1:14" x14ac:dyDescent="0.25">
      <c r="A1077" t="s">
        <v>1213</v>
      </c>
      <c r="B1077">
        <v>7019</v>
      </c>
      <c r="C1077">
        <v>2677</v>
      </c>
      <c r="D1077">
        <v>15</v>
      </c>
      <c r="E1077" t="s">
        <v>28</v>
      </c>
      <c r="F1077" t="s">
        <v>50</v>
      </c>
      <c r="G1077" t="s">
        <v>16</v>
      </c>
      <c r="H1077" s="1">
        <v>44186</v>
      </c>
      <c r="I1077" t="s">
        <v>1214</v>
      </c>
      <c r="J1077" t="s">
        <v>18</v>
      </c>
      <c r="K1077" t="s">
        <v>19</v>
      </c>
      <c r="L1077" s="1">
        <v>44166</v>
      </c>
      <c r="M1077">
        <v>0.38139336087761799</v>
      </c>
      <c r="N1077">
        <v>1.17693213024716E-3</v>
      </c>
    </row>
    <row r="1078" spans="1:14" x14ac:dyDescent="0.25">
      <c r="A1078" t="s">
        <v>1215</v>
      </c>
      <c r="B1078">
        <v>5954</v>
      </c>
      <c r="C1078">
        <v>2640</v>
      </c>
      <c r="D1078">
        <v>14</v>
      </c>
      <c r="E1078" t="s">
        <v>14</v>
      </c>
      <c r="F1078" t="s">
        <v>35</v>
      </c>
      <c r="G1078" t="s">
        <v>42</v>
      </c>
      <c r="H1078" s="1">
        <v>44432</v>
      </c>
      <c r="I1078" t="s">
        <v>1216</v>
      </c>
      <c r="J1078" t="s">
        <v>24</v>
      </c>
      <c r="K1078" t="s">
        <v>46</v>
      </c>
      <c r="L1078" s="1">
        <v>44409</v>
      </c>
      <c r="M1078">
        <v>0.44339939536446099</v>
      </c>
      <c r="N1078">
        <v>1.0984699882306799E-3</v>
      </c>
    </row>
    <row r="1079" spans="1:14" x14ac:dyDescent="0.25">
      <c r="A1079" t="s">
        <v>1215</v>
      </c>
      <c r="B1079">
        <v>5954</v>
      </c>
      <c r="C1079">
        <v>2640</v>
      </c>
      <c r="D1079">
        <v>14</v>
      </c>
      <c r="E1079" t="s">
        <v>14</v>
      </c>
      <c r="F1079" t="s">
        <v>35</v>
      </c>
      <c r="G1079" t="s">
        <v>42</v>
      </c>
      <c r="H1079" s="1">
        <v>44856</v>
      </c>
      <c r="I1079" t="s">
        <v>1217</v>
      </c>
      <c r="J1079" t="s">
        <v>63</v>
      </c>
      <c r="K1079" t="s">
        <v>64</v>
      </c>
      <c r="L1079" s="1">
        <v>44835</v>
      </c>
      <c r="M1079">
        <v>0.44339939536446099</v>
      </c>
      <c r="N1079">
        <v>1.0984699882306799E-3</v>
      </c>
    </row>
    <row r="1080" spans="1:14" x14ac:dyDescent="0.25">
      <c r="A1080" t="s">
        <v>1218</v>
      </c>
      <c r="B1080">
        <v>9752</v>
      </c>
      <c r="C1080">
        <v>3618</v>
      </c>
      <c r="D1080">
        <v>5</v>
      </c>
      <c r="E1080" t="s">
        <v>40</v>
      </c>
      <c r="F1080" t="s">
        <v>91</v>
      </c>
      <c r="G1080" t="s">
        <v>30</v>
      </c>
      <c r="H1080" s="1">
        <v>45343</v>
      </c>
      <c r="I1080" t="s">
        <v>1219</v>
      </c>
      <c r="J1080" t="s">
        <v>24</v>
      </c>
      <c r="K1080" t="s">
        <v>60</v>
      </c>
      <c r="L1080" s="1">
        <v>45323</v>
      </c>
      <c r="M1080">
        <v>0.37100082034454501</v>
      </c>
      <c r="N1080">
        <v>3.9231071008238503E-4</v>
      </c>
    </row>
    <row r="1081" spans="1:14" x14ac:dyDescent="0.25">
      <c r="A1081" t="s">
        <v>1218</v>
      </c>
      <c r="B1081">
        <v>9752</v>
      </c>
      <c r="C1081">
        <v>3618</v>
      </c>
      <c r="D1081">
        <v>5</v>
      </c>
      <c r="E1081" t="s">
        <v>40</v>
      </c>
      <c r="F1081" t="s">
        <v>91</v>
      </c>
      <c r="G1081" t="s">
        <v>30</v>
      </c>
      <c r="H1081" s="1">
        <v>44865</v>
      </c>
      <c r="I1081" t="s">
        <v>1220</v>
      </c>
      <c r="J1081" t="s">
        <v>21</v>
      </c>
      <c r="K1081" t="s">
        <v>138</v>
      </c>
      <c r="L1081" s="1">
        <v>44835</v>
      </c>
      <c r="M1081">
        <v>0.37100082034454501</v>
      </c>
      <c r="N1081">
        <v>3.9231071008238503E-4</v>
      </c>
    </row>
    <row r="1082" spans="1:14" x14ac:dyDescent="0.25">
      <c r="A1082" t="s">
        <v>1221</v>
      </c>
      <c r="B1082">
        <v>5335</v>
      </c>
      <c r="C1082">
        <v>322</v>
      </c>
      <c r="D1082">
        <v>15</v>
      </c>
      <c r="E1082" t="s">
        <v>14</v>
      </c>
      <c r="F1082" t="s">
        <v>15</v>
      </c>
      <c r="G1082" t="s">
        <v>57</v>
      </c>
      <c r="H1082" s="1">
        <v>44696</v>
      </c>
      <c r="I1082" t="s">
        <v>1222</v>
      </c>
      <c r="J1082" t="s">
        <v>24</v>
      </c>
      <c r="K1082" t="s">
        <v>46</v>
      </c>
      <c r="L1082" s="1">
        <v>44682</v>
      </c>
      <c r="M1082">
        <v>6.0356138706654197E-2</v>
      </c>
      <c r="N1082">
        <v>1.17693213024716E-3</v>
      </c>
    </row>
    <row r="1083" spans="1:14" x14ac:dyDescent="0.25">
      <c r="A1083" t="s">
        <v>1223</v>
      </c>
      <c r="B1083">
        <v>1454</v>
      </c>
      <c r="C1083">
        <v>80</v>
      </c>
      <c r="D1083">
        <v>20</v>
      </c>
      <c r="E1083" t="s">
        <v>14</v>
      </c>
      <c r="F1083" t="s">
        <v>15</v>
      </c>
      <c r="G1083" t="s">
        <v>42</v>
      </c>
      <c r="H1083" s="1">
        <v>44764</v>
      </c>
      <c r="I1083" t="s">
        <v>1224</v>
      </c>
      <c r="J1083" t="s">
        <v>24</v>
      </c>
      <c r="K1083" t="s">
        <v>60</v>
      </c>
      <c r="L1083" s="1">
        <v>44743</v>
      </c>
      <c r="M1083">
        <v>5.5020632737276497E-2</v>
      </c>
      <c r="N1083">
        <v>1.5692428403295401E-3</v>
      </c>
    </row>
    <row r="1084" spans="1:14" x14ac:dyDescent="0.25">
      <c r="A1084" t="s">
        <v>1225</v>
      </c>
      <c r="B1084">
        <v>6724</v>
      </c>
      <c r="C1084">
        <v>1539</v>
      </c>
      <c r="D1084">
        <v>19</v>
      </c>
      <c r="E1084" t="s">
        <v>40</v>
      </c>
      <c r="F1084" t="s">
        <v>91</v>
      </c>
      <c r="G1084" t="s">
        <v>57</v>
      </c>
      <c r="H1084" s="1">
        <v>44543</v>
      </c>
      <c r="I1084" t="s">
        <v>1226</v>
      </c>
      <c r="J1084" t="s">
        <v>38</v>
      </c>
      <c r="K1084" t="s">
        <v>79</v>
      </c>
      <c r="L1084" s="1">
        <v>44531</v>
      </c>
      <c r="M1084">
        <v>0.22888161808447399</v>
      </c>
      <c r="N1084">
        <v>1.4907806983130601E-3</v>
      </c>
    </row>
    <row r="1085" spans="1:14" x14ac:dyDescent="0.25">
      <c r="A1085" t="s">
        <v>1225</v>
      </c>
      <c r="B1085">
        <v>6724</v>
      </c>
      <c r="C1085">
        <v>1539</v>
      </c>
      <c r="D1085">
        <v>19</v>
      </c>
      <c r="E1085" t="s">
        <v>40</v>
      </c>
      <c r="F1085" t="s">
        <v>91</v>
      </c>
      <c r="G1085" t="s">
        <v>57</v>
      </c>
      <c r="H1085" s="1">
        <v>44350</v>
      </c>
      <c r="I1085" t="s">
        <v>1227</v>
      </c>
      <c r="J1085" t="s">
        <v>63</v>
      </c>
      <c r="K1085" t="s">
        <v>64</v>
      </c>
      <c r="L1085" s="1">
        <v>44348</v>
      </c>
      <c r="M1085">
        <v>0.22888161808447399</v>
      </c>
      <c r="N1085">
        <v>1.4907806983130601E-3</v>
      </c>
    </row>
    <row r="1086" spans="1:14" x14ac:dyDescent="0.25">
      <c r="A1086" t="s">
        <v>1228</v>
      </c>
      <c r="B1086">
        <v>9874</v>
      </c>
      <c r="C1086">
        <v>3895</v>
      </c>
      <c r="D1086">
        <v>4</v>
      </c>
      <c r="E1086" t="s">
        <v>28</v>
      </c>
      <c r="F1086" t="s">
        <v>68</v>
      </c>
      <c r="G1086" t="s">
        <v>36</v>
      </c>
      <c r="H1086" s="1">
        <v>45712</v>
      </c>
      <c r="I1086" t="s">
        <v>1229</v>
      </c>
      <c r="J1086" t="s">
        <v>83</v>
      </c>
      <c r="K1086" t="s">
        <v>98</v>
      </c>
      <c r="L1086" s="1">
        <v>45689</v>
      </c>
      <c r="M1086">
        <v>0.39447032610897298</v>
      </c>
      <c r="N1086">
        <v>3.1384856806590799E-4</v>
      </c>
    </row>
    <row r="1087" spans="1:14" x14ac:dyDescent="0.25">
      <c r="A1087" t="s">
        <v>1230</v>
      </c>
      <c r="B1087">
        <v>4918</v>
      </c>
      <c r="C1087">
        <v>1485</v>
      </c>
      <c r="D1087">
        <v>7</v>
      </c>
      <c r="E1087" t="s">
        <v>14</v>
      </c>
      <c r="F1087" t="s">
        <v>71</v>
      </c>
      <c r="G1087" t="s">
        <v>16</v>
      </c>
      <c r="H1087" s="1">
        <v>44959</v>
      </c>
      <c r="I1087" t="s">
        <v>1231</v>
      </c>
      <c r="J1087" t="s">
        <v>18</v>
      </c>
      <c r="K1087" t="s">
        <v>122</v>
      </c>
      <c r="L1087" s="1">
        <v>44958</v>
      </c>
      <c r="M1087">
        <v>0.30195201301342001</v>
      </c>
      <c r="N1087">
        <v>5.4923499411533899E-4</v>
      </c>
    </row>
    <row r="1088" spans="1:14" x14ac:dyDescent="0.25">
      <c r="A1088" t="s">
        <v>1232</v>
      </c>
      <c r="B1088">
        <v>3189</v>
      </c>
      <c r="C1088">
        <v>1180</v>
      </c>
      <c r="D1088">
        <v>19</v>
      </c>
      <c r="E1088" t="s">
        <v>28</v>
      </c>
      <c r="F1088" t="s">
        <v>56</v>
      </c>
      <c r="G1088" t="s">
        <v>42</v>
      </c>
      <c r="H1088" s="1">
        <v>44561</v>
      </c>
      <c r="I1088" t="s">
        <v>1233</v>
      </c>
      <c r="J1088" t="s">
        <v>24</v>
      </c>
      <c r="K1088" t="s">
        <v>46</v>
      </c>
      <c r="L1088" s="1">
        <v>44531</v>
      </c>
      <c r="M1088">
        <v>0.370021950454688</v>
      </c>
      <c r="N1088">
        <v>1.4907806983130601E-3</v>
      </c>
    </row>
    <row r="1089" spans="1:14" x14ac:dyDescent="0.25">
      <c r="A1089" t="s">
        <v>1234</v>
      </c>
      <c r="B1089">
        <v>2684</v>
      </c>
      <c r="C1089">
        <v>713</v>
      </c>
      <c r="D1089">
        <v>2</v>
      </c>
      <c r="E1089" t="s">
        <v>14</v>
      </c>
      <c r="F1089" t="s">
        <v>15</v>
      </c>
      <c r="G1089" t="s">
        <v>16</v>
      </c>
      <c r="H1089" s="1">
        <v>45458</v>
      </c>
      <c r="I1089" t="s">
        <v>1235</v>
      </c>
      <c r="J1089" t="s">
        <v>24</v>
      </c>
      <c r="K1089" t="s">
        <v>46</v>
      </c>
      <c r="L1089" s="1">
        <v>45444</v>
      </c>
      <c r="M1089">
        <v>0.26564828614008901</v>
      </c>
      <c r="N1089">
        <v>1.5692428403295399E-4</v>
      </c>
    </row>
    <row r="1090" spans="1:14" x14ac:dyDescent="0.25">
      <c r="A1090" t="s">
        <v>1234</v>
      </c>
      <c r="B1090">
        <v>2684</v>
      </c>
      <c r="C1090">
        <v>713</v>
      </c>
      <c r="D1090">
        <v>2</v>
      </c>
      <c r="E1090" t="s">
        <v>14</v>
      </c>
      <c r="F1090" t="s">
        <v>15</v>
      </c>
      <c r="G1090" t="s">
        <v>16</v>
      </c>
      <c r="H1090" s="1">
        <v>44717</v>
      </c>
      <c r="I1090" t="s">
        <v>1236</v>
      </c>
      <c r="J1090" t="s">
        <v>24</v>
      </c>
      <c r="K1090" t="s">
        <v>25</v>
      </c>
      <c r="L1090" s="1">
        <v>44713</v>
      </c>
      <c r="M1090">
        <v>0.26564828614008901</v>
      </c>
      <c r="N1090">
        <v>1.5692428403295399E-4</v>
      </c>
    </row>
    <row r="1091" spans="1:14" x14ac:dyDescent="0.25">
      <c r="A1091" t="s">
        <v>1234</v>
      </c>
      <c r="B1091">
        <v>2684</v>
      </c>
      <c r="C1091">
        <v>713</v>
      </c>
      <c r="D1091">
        <v>2</v>
      </c>
      <c r="E1091" t="s">
        <v>14</v>
      </c>
      <c r="F1091" t="s">
        <v>15</v>
      </c>
      <c r="G1091" t="s">
        <v>16</v>
      </c>
      <c r="H1091" s="1">
        <v>43962</v>
      </c>
      <c r="I1091" t="s">
        <v>1237</v>
      </c>
      <c r="J1091" t="s">
        <v>63</v>
      </c>
      <c r="K1091" t="s">
        <v>64</v>
      </c>
      <c r="L1091" s="1">
        <v>43952</v>
      </c>
      <c r="M1091">
        <v>0.26564828614008901</v>
      </c>
      <c r="N1091">
        <v>1.5692428403295399E-4</v>
      </c>
    </row>
    <row r="1092" spans="1:14" x14ac:dyDescent="0.25">
      <c r="A1092" t="s">
        <v>1238</v>
      </c>
      <c r="B1092">
        <v>7626</v>
      </c>
      <c r="C1092">
        <v>229</v>
      </c>
      <c r="D1092">
        <v>5</v>
      </c>
      <c r="E1092" t="s">
        <v>28</v>
      </c>
      <c r="F1092" t="s">
        <v>29</v>
      </c>
      <c r="G1092" t="s">
        <v>36</v>
      </c>
      <c r="H1092" s="1">
        <v>45333</v>
      </c>
      <c r="I1092" t="s">
        <v>1239</v>
      </c>
      <c r="J1092" t="s">
        <v>21</v>
      </c>
      <c r="K1092" t="s">
        <v>55</v>
      </c>
      <c r="L1092" s="1">
        <v>45323</v>
      </c>
      <c r="M1092">
        <v>3.0028848675583499E-2</v>
      </c>
      <c r="N1092">
        <v>3.9231071008238503E-4</v>
      </c>
    </row>
    <row r="1093" spans="1:14" x14ac:dyDescent="0.25">
      <c r="A1093" t="s">
        <v>1238</v>
      </c>
      <c r="B1093">
        <v>7626</v>
      </c>
      <c r="C1093">
        <v>229</v>
      </c>
      <c r="D1093">
        <v>5</v>
      </c>
      <c r="E1093" t="s">
        <v>28</v>
      </c>
      <c r="F1093" t="s">
        <v>29</v>
      </c>
      <c r="G1093" t="s">
        <v>36</v>
      </c>
      <c r="H1093" s="1">
        <v>44160</v>
      </c>
      <c r="I1093" t="s">
        <v>1240</v>
      </c>
      <c r="J1093" t="s">
        <v>83</v>
      </c>
      <c r="K1093" t="s">
        <v>84</v>
      </c>
      <c r="L1093" s="1">
        <v>44136</v>
      </c>
      <c r="M1093">
        <v>3.0028848675583499E-2</v>
      </c>
      <c r="N1093">
        <v>3.9231071008238503E-4</v>
      </c>
    </row>
    <row r="1094" spans="1:14" x14ac:dyDescent="0.25">
      <c r="A1094" t="s">
        <v>1241</v>
      </c>
      <c r="B1094">
        <v>6669</v>
      </c>
      <c r="C1094">
        <v>3063</v>
      </c>
      <c r="D1094">
        <v>19</v>
      </c>
      <c r="E1094" t="s">
        <v>14</v>
      </c>
      <c r="F1094" t="s">
        <v>26</v>
      </c>
      <c r="G1094" t="s">
        <v>16</v>
      </c>
      <c r="H1094" s="1">
        <v>45150</v>
      </c>
      <c r="I1094" t="s">
        <v>1242</v>
      </c>
      <c r="J1094" t="s">
        <v>83</v>
      </c>
      <c r="K1094" t="s">
        <v>90</v>
      </c>
      <c r="L1094" s="1">
        <v>45139</v>
      </c>
      <c r="M1094">
        <v>0.45928924876293298</v>
      </c>
      <c r="N1094">
        <v>1.4907806983130601E-3</v>
      </c>
    </row>
    <row r="1095" spans="1:14" x14ac:dyDescent="0.25">
      <c r="A1095" t="s">
        <v>1243</v>
      </c>
      <c r="B1095">
        <v>6123</v>
      </c>
      <c r="C1095">
        <v>1686</v>
      </c>
      <c r="D1095">
        <v>3</v>
      </c>
      <c r="E1095" t="s">
        <v>28</v>
      </c>
      <c r="F1095" t="s">
        <v>50</v>
      </c>
      <c r="G1095" t="s">
        <v>42</v>
      </c>
      <c r="H1095" s="1">
        <v>44687</v>
      </c>
      <c r="I1095" t="s">
        <v>1244</v>
      </c>
      <c r="J1095" t="s">
        <v>83</v>
      </c>
      <c r="K1095" t="s">
        <v>90</v>
      </c>
      <c r="L1095" s="1">
        <v>44682</v>
      </c>
      <c r="M1095">
        <v>0.27535521803037699</v>
      </c>
      <c r="N1095">
        <v>2.35386426049431E-4</v>
      </c>
    </row>
    <row r="1096" spans="1:14" x14ac:dyDescent="0.25">
      <c r="A1096" t="s">
        <v>1245</v>
      </c>
      <c r="B1096">
        <v>3265</v>
      </c>
      <c r="C1096">
        <v>1390</v>
      </c>
      <c r="D1096">
        <v>16</v>
      </c>
      <c r="E1096" t="s">
        <v>28</v>
      </c>
      <c r="F1096" t="s">
        <v>56</v>
      </c>
      <c r="G1096" t="s">
        <v>42</v>
      </c>
      <c r="H1096" s="1">
        <v>45308</v>
      </c>
      <c r="I1096" t="s">
        <v>1246</v>
      </c>
      <c r="J1096" t="s">
        <v>38</v>
      </c>
      <c r="K1096" t="s">
        <v>39</v>
      </c>
      <c r="L1096" s="1">
        <v>45292</v>
      </c>
      <c r="M1096">
        <v>0.42572741194487002</v>
      </c>
      <c r="N1096">
        <v>1.25539427226363E-3</v>
      </c>
    </row>
    <row r="1097" spans="1:14" x14ac:dyDescent="0.25">
      <c r="A1097" t="s">
        <v>1247</v>
      </c>
      <c r="B1097">
        <v>8104</v>
      </c>
      <c r="C1097">
        <v>1039</v>
      </c>
      <c r="D1097">
        <v>6</v>
      </c>
      <c r="E1097" t="s">
        <v>28</v>
      </c>
      <c r="F1097" t="s">
        <v>50</v>
      </c>
      <c r="G1097" t="s">
        <v>57</v>
      </c>
      <c r="H1097" s="1">
        <v>44524</v>
      </c>
      <c r="I1097" t="s">
        <v>1248</v>
      </c>
      <c r="J1097" t="s">
        <v>18</v>
      </c>
      <c r="K1097" t="s">
        <v>32</v>
      </c>
      <c r="L1097" s="1">
        <v>44501</v>
      </c>
      <c r="M1097">
        <v>0.128208292201382</v>
      </c>
      <c r="N1097">
        <v>4.7077285209886201E-4</v>
      </c>
    </row>
    <row r="1098" spans="1:14" x14ac:dyDescent="0.25">
      <c r="A1098" t="s">
        <v>1247</v>
      </c>
      <c r="B1098">
        <v>8104</v>
      </c>
      <c r="C1098">
        <v>1039</v>
      </c>
      <c r="D1098">
        <v>6</v>
      </c>
      <c r="E1098" t="s">
        <v>28</v>
      </c>
      <c r="F1098" t="s">
        <v>50</v>
      </c>
      <c r="G1098" t="s">
        <v>57</v>
      </c>
      <c r="H1098" s="1">
        <v>44475</v>
      </c>
      <c r="I1098" t="s">
        <v>1249</v>
      </c>
      <c r="J1098" t="s">
        <v>18</v>
      </c>
      <c r="K1098" t="s">
        <v>19</v>
      </c>
      <c r="L1098" s="1">
        <v>44470</v>
      </c>
      <c r="M1098">
        <v>0.128208292201382</v>
      </c>
      <c r="N1098">
        <v>4.7077285209886201E-4</v>
      </c>
    </row>
    <row r="1099" spans="1:14" x14ac:dyDescent="0.25">
      <c r="A1099" t="s">
        <v>1247</v>
      </c>
      <c r="B1099">
        <v>8104</v>
      </c>
      <c r="C1099">
        <v>1039</v>
      </c>
      <c r="D1099">
        <v>6</v>
      </c>
      <c r="E1099" t="s">
        <v>28</v>
      </c>
      <c r="F1099" t="s">
        <v>50</v>
      </c>
      <c r="G1099" t="s">
        <v>57</v>
      </c>
      <c r="H1099" s="1">
        <v>45684</v>
      </c>
      <c r="I1099" t="s">
        <v>1250</v>
      </c>
      <c r="J1099" t="s">
        <v>38</v>
      </c>
      <c r="K1099" t="s">
        <v>79</v>
      </c>
      <c r="L1099" s="1">
        <v>45658</v>
      </c>
      <c r="M1099">
        <v>0.128208292201382</v>
      </c>
      <c r="N1099">
        <v>4.7077285209886201E-4</v>
      </c>
    </row>
    <row r="1100" spans="1:14" x14ac:dyDescent="0.25">
      <c r="A1100" t="s">
        <v>1251</v>
      </c>
      <c r="B1100">
        <v>847</v>
      </c>
      <c r="C1100">
        <v>355</v>
      </c>
      <c r="D1100">
        <v>17</v>
      </c>
      <c r="E1100" t="s">
        <v>40</v>
      </c>
      <c r="F1100" t="s">
        <v>41</v>
      </c>
      <c r="G1100" t="s">
        <v>57</v>
      </c>
      <c r="H1100" s="1">
        <v>44704</v>
      </c>
      <c r="I1100" t="s">
        <v>1252</v>
      </c>
      <c r="J1100" t="s">
        <v>24</v>
      </c>
      <c r="K1100" t="s">
        <v>25</v>
      </c>
      <c r="L1100" s="1">
        <v>44682</v>
      </c>
      <c r="M1100">
        <v>0.419126328217237</v>
      </c>
      <c r="N1100">
        <v>1.33385641428011E-3</v>
      </c>
    </row>
    <row r="1101" spans="1:14" x14ac:dyDescent="0.25">
      <c r="A1101" t="s">
        <v>1251</v>
      </c>
      <c r="B1101">
        <v>847</v>
      </c>
      <c r="C1101">
        <v>355</v>
      </c>
      <c r="D1101">
        <v>17</v>
      </c>
      <c r="E1101" t="s">
        <v>40</v>
      </c>
      <c r="F1101" t="s">
        <v>41</v>
      </c>
      <c r="G1101" t="s">
        <v>57</v>
      </c>
      <c r="H1101" s="1">
        <v>45258</v>
      </c>
      <c r="I1101" t="s">
        <v>1253</v>
      </c>
      <c r="J1101" t="s">
        <v>63</v>
      </c>
      <c r="K1101" t="s">
        <v>75</v>
      </c>
      <c r="L1101" s="1">
        <v>45231</v>
      </c>
      <c r="M1101">
        <v>0.419126328217237</v>
      </c>
      <c r="N1101">
        <v>1.33385641428011E-3</v>
      </c>
    </row>
    <row r="1102" spans="1:14" x14ac:dyDescent="0.25">
      <c r="A1102" t="s">
        <v>1251</v>
      </c>
      <c r="B1102">
        <v>847</v>
      </c>
      <c r="C1102">
        <v>355</v>
      </c>
      <c r="D1102">
        <v>17</v>
      </c>
      <c r="E1102" t="s">
        <v>40</v>
      </c>
      <c r="F1102" t="s">
        <v>41</v>
      </c>
      <c r="G1102" t="s">
        <v>57</v>
      </c>
      <c r="H1102" s="1">
        <v>44944</v>
      </c>
      <c r="I1102" t="s">
        <v>1254</v>
      </c>
      <c r="J1102" t="s">
        <v>38</v>
      </c>
      <c r="K1102" t="s">
        <v>79</v>
      </c>
      <c r="L1102" s="1">
        <v>44927</v>
      </c>
      <c r="M1102">
        <v>0.419126328217237</v>
      </c>
      <c r="N1102">
        <v>1.33385641428011E-3</v>
      </c>
    </row>
    <row r="1103" spans="1:14" x14ac:dyDescent="0.25">
      <c r="A1103" t="s">
        <v>1255</v>
      </c>
      <c r="B1103">
        <v>3129</v>
      </c>
      <c r="C1103">
        <v>55</v>
      </c>
      <c r="D1103">
        <v>9</v>
      </c>
      <c r="E1103" t="s">
        <v>40</v>
      </c>
      <c r="F1103" t="s">
        <v>91</v>
      </c>
      <c r="G1103" t="s">
        <v>30</v>
      </c>
      <c r="H1103" s="1">
        <v>44445</v>
      </c>
      <c r="I1103" t="s">
        <v>1256</v>
      </c>
      <c r="J1103" t="s">
        <v>21</v>
      </c>
      <c r="K1103" t="s">
        <v>138</v>
      </c>
      <c r="L1103" s="1">
        <v>44440</v>
      </c>
      <c r="M1103">
        <v>1.75775007989773E-2</v>
      </c>
      <c r="N1103">
        <v>7.0615927814829404E-4</v>
      </c>
    </row>
    <row r="1104" spans="1:14" x14ac:dyDescent="0.25">
      <c r="A1104" t="s">
        <v>1255</v>
      </c>
      <c r="B1104">
        <v>7821</v>
      </c>
      <c r="C1104">
        <v>3821</v>
      </c>
      <c r="D1104">
        <v>13</v>
      </c>
      <c r="E1104" t="s">
        <v>14</v>
      </c>
      <c r="F1104" t="s">
        <v>35</v>
      </c>
      <c r="G1104" t="s">
        <v>36</v>
      </c>
      <c r="H1104" s="1">
        <v>44445</v>
      </c>
      <c r="I1104" t="s">
        <v>1256</v>
      </c>
      <c r="J1104" t="s">
        <v>21</v>
      </c>
      <c r="K1104" t="s">
        <v>138</v>
      </c>
      <c r="L1104" s="1">
        <v>44440</v>
      </c>
      <c r="M1104">
        <v>0.488556450581767</v>
      </c>
      <c r="N1104">
        <v>1.0200078462141999E-3</v>
      </c>
    </row>
    <row r="1105" spans="1:14" x14ac:dyDescent="0.25">
      <c r="A1105" t="s">
        <v>1257</v>
      </c>
      <c r="B1105">
        <v>9498</v>
      </c>
      <c r="C1105">
        <v>256</v>
      </c>
      <c r="D1105">
        <v>12</v>
      </c>
      <c r="E1105" t="s">
        <v>14</v>
      </c>
      <c r="F1105" t="s">
        <v>71</v>
      </c>
      <c r="G1105" t="s">
        <v>57</v>
      </c>
      <c r="H1105" s="1">
        <v>44249</v>
      </c>
      <c r="I1105" t="s">
        <v>1258</v>
      </c>
      <c r="J1105" t="s">
        <v>21</v>
      </c>
      <c r="K1105" t="s">
        <v>138</v>
      </c>
      <c r="L1105" s="1">
        <v>44228</v>
      </c>
      <c r="M1105">
        <v>2.6953042745841201E-2</v>
      </c>
      <c r="N1105">
        <v>9.4154570419772402E-4</v>
      </c>
    </row>
    <row r="1106" spans="1:14" x14ac:dyDescent="0.25">
      <c r="A1106" t="s">
        <v>1257</v>
      </c>
      <c r="B1106">
        <v>9498</v>
      </c>
      <c r="C1106">
        <v>256</v>
      </c>
      <c r="D1106">
        <v>12</v>
      </c>
      <c r="E1106" t="s">
        <v>14</v>
      </c>
      <c r="F1106" t="s">
        <v>71</v>
      </c>
      <c r="G1106" t="s">
        <v>57</v>
      </c>
      <c r="H1106" s="1">
        <v>44475</v>
      </c>
      <c r="I1106" t="s">
        <v>1259</v>
      </c>
      <c r="J1106" t="s">
        <v>24</v>
      </c>
      <c r="K1106" t="s">
        <v>46</v>
      </c>
      <c r="L1106" s="1">
        <v>44470</v>
      </c>
      <c r="M1106">
        <v>2.6953042745841201E-2</v>
      </c>
      <c r="N1106">
        <v>9.4154570419772402E-4</v>
      </c>
    </row>
    <row r="1107" spans="1:14" x14ac:dyDescent="0.25">
      <c r="A1107" t="s">
        <v>1260</v>
      </c>
      <c r="B1107">
        <v>5461</v>
      </c>
      <c r="C1107">
        <v>1214</v>
      </c>
      <c r="D1107">
        <v>7</v>
      </c>
      <c r="E1107" t="s">
        <v>40</v>
      </c>
      <c r="F1107" t="s">
        <v>52</v>
      </c>
      <c r="G1107" t="s">
        <v>42</v>
      </c>
      <c r="H1107" s="1">
        <v>43989</v>
      </c>
      <c r="I1107" t="s">
        <v>1261</v>
      </c>
      <c r="J1107" t="s">
        <v>24</v>
      </c>
      <c r="K1107" t="s">
        <v>60</v>
      </c>
      <c r="L1107" s="1">
        <v>43983</v>
      </c>
      <c r="M1107">
        <v>0.222303607397912</v>
      </c>
      <c r="N1107">
        <v>5.4923499411533899E-4</v>
      </c>
    </row>
    <row r="1108" spans="1:14" x14ac:dyDescent="0.25">
      <c r="A1108" t="s">
        <v>1262</v>
      </c>
      <c r="B1108">
        <v>3084</v>
      </c>
      <c r="C1108">
        <v>611</v>
      </c>
      <c r="D1108">
        <v>19</v>
      </c>
      <c r="E1108" t="s">
        <v>40</v>
      </c>
      <c r="F1108" t="s">
        <v>91</v>
      </c>
      <c r="G1108" t="s">
        <v>16</v>
      </c>
      <c r="H1108" s="1">
        <v>45433</v>
      </c>
      <c r="I1108" t="s">
        <v>1263</v>
      </c>
      <c r="J1108" t="s">
        <v>63</v>
      </c>
      <c r="K1108" t="s">
        <v>64</v>
      </c>
      <c r="L1108" s="1">
        <v>45413</v>
      </c>
      <c r="M1108">
        <v>0.19811932555123199</v>
      </c>
      <c r="N1108">
        <v>1.4907806983130601E-3</v>
      </c>
    </row>
    <row r="1109" spans="1:14" x14ac:dyDescent="0.25">
      <c r="A1109" t="s">
        <v>1264</v>
      </c>
      <c r="B1109">
        <v>6087</v>
      </c>
      <c r="C1109">
        <v>3043</v>
      </c>
      <c r="D1109">
        <v>1</v>
      </c>
      <c r="E1109" t="s">
        <v>40</v>
      </c>
      <c r="F1109" t="s">
        <v>52</v>
      </c>
      <c r="G1109" t="s">
        <v>57</v>
      </c>
      <c r="H1109" s="1">
        <v>44048</v>
      </c>
      <c r="I1109" t="s">
        <v>1265</v>
      </c>
      <c r="J1109" t="s">
        <v>24</v>
      </c>
      <c r="K1109" t="s">
        <v>25</v>
      </c>
      <c r="L1109" s="1">
        <v>44044</v>
      </c>
      <c r="M1109">
        <v>0.49991785772958802</v>
      </c>
      <c r="N1109">
        <v>7.8462142016476997E-5</v>
      </c>
    </row>
    <row r="1110" spans="1:14" x14ac:dyDescent="0.25">
      <c r="A1110" t="s">
        <v>1266</v>
      </c>
      <c r="B1110">
        <v>611</v>
      </c>
      <c r="C1110">
        <v>300</v>
      </c>
      <c r="D1110">
        <v>3</v>
      </c>
      <c r="E1110" t="s">
        <v>40</v>
      </c>
      <c r="F1110" t="s">
        <v>91</v>
      </c>
      <c r="G1110" t="s">
        <v>42</v>
      </c>
      <c r="H1110" s="1">
        <v>44119</v>
      </c>
      <c r="I1110" t="s">
        <v>1267</v>
      </c>
      <c r="J1110" t="s">
        <v>21</v>
      </c>
      <c r="K1110" t="s">
        <v>138</v>
      </c>
      <c r="L1110" s="1">
        <v>44105</v>
      </c>
      <c r="M1110">
        <v>0.49099836333878899</v>
      </c>
      <c r="N1110">
        <v>2.35386426049431E-4</v>
      </c>
    </row>
    <row r="1111" spans="1:14" x14ac:dyDescent="0.25">
      <c r="A1111" t="s">
        <v>1268</v>
      </c>
      <c r="B1111">
        <v>9909</v>
      </c>
      <c r="C1111">
        <v>2999</v>
      </c>
      <c r="D1111">
        <v>18</v>
      </c>
      <c r="E1111" t="s">
        <v>28</v>
      </c>
      <c r="F1111" t="s">
        <v>50</v>
      </c>
      <c r="G1111" t="s">
        <v>57</v>
      </c>
      <c r="H1111" s="1">
        <v>44331</v>
      </c>
      <c r="I1111" t="s">
        <v>1269</v>
      </c>
      <c r="J1111" t="s">
        <v>83</v>
      </c>
      <c r="K1111" t="s">
        <v>98</v>
      </c>
      <c r="L1111" s="1">
        <v>44317</v>
      </c>
      <c r="M1111">
        <v>0.30265415279039298</v>
      </c>
      <c r="N1111">
        <v>1.41231855629659E-3</v>
      </c>
    </row>
    <row r="1112" spans="1:14" x14ac:dyDescent="0.25">
      <c r="A1112" t="s">
        <v>1268</v>
      </c>
      <c r="B1112">
        <v>9909</v>
      </c>
      <c r="C1112">
        <v>2999</v>
      </c>
      <c r="D1112">
        <v>18</v>
      </c>
      <c r="E1112" t="s">
        <v>28</v>
      </c>
      <c r="F1112" t="s">
        <v>50</v>
      </c>
      <c r="G1112" t="s">
        <v>57</v>
      </c>
      <c r="H1112" s="1">
        <v>44574</v>
      </c>
      <c r="I1112" t="s">
        <v>1270</v>
      </c>
      <c r="J1112" t="s">
        <v>63</v>
      </c>
      <c r="K1112" t="s">
        <v>75</v>
      </c>
      <c r="L1112" s="1">
        <v>44562</v>
      </c>
      <c r="M1112">
        <v>0.30265415279039298</v>
      </c>
      <c r="N1112">
        <v>1.41231855629659E-3</v>
      </c>
    </row>
    <row r="1113" spans="1:14" x14ac:dyDescent="0.25">
      <c r="A1113" t="s">
        <v>1271</v>
      </c>
      <c r="B1113">
        <v>6485</v>
      </c>
      <c r="C1113">
        <v>3178</v>
      </c>
      <c r="D1113">
        <v>18</v>
      </c>
      <c r="E1113" t="s">
        <v>40</v>
      </c>
      <c r="F1113" t="s">
        <v>52</v>
      </c>
      <c r="G1113" t="s">
        <v>16</v>
      </c>
      <c r="H1113" s="1">
        <v>45125</v>
      </c>
      <c r="I1113" t="s">
        <v>1272</v>
      </c>
      <c r="J1113" t="s">
        <v>83</v>
      </c>
      <c r="K1113" t="s">
        <v>84</v>
      </c>
      <c r="L1113" s="1">
        <v>45108</v>
      </c>
      <c r="M1113">
        <v>0.49005397070161899</v>
      </c>
      <c r="N1113">
        <v>1.41231855629659E-3</v>
      </c>
    </row>
    <row r="1114" spans="1:14" x14ac:dyDescent="0.25">
      <c r="A1114" t="s">
        <v>1273</v>
      </c>
      <c r="B1114">
        <v>7259</v>
      </c>
      <c r="C1114">
        <v>1969</v>
      </c>
      <c r="D1114">
        <v>10</v>
      </c>
      <c r="E1114" t="s">
        <v>14</v>
      </c>
      <c r="F1114" t="s">
        <v>35</v>
      </c>
      <c r="G1114" t="s">
        <v>42</v>
      </c>
      <c r="H1114" s="1">
        <v>44903</v>
      </c>
      <c r="I1114" t="s">
        <v>1274</v>
      </c>
      <c r="J1114" t="s">
        <v>21</v>
      </c>
      <c r="K1114" t="s">
        <v>55</v>
      </c>
      <c r="L1114" s="1">
        <v>44896</v>
      </c>
      <c r="M1114">
        <v>0.271249483399917</v>
      </c>
      <c r="N1114">
        <v>7.8462142016477005E-4</v>
      </c>
    </row>
    <row r="1115" spans="1:14" x14ac:dyDescent="0.25">
      <c r="A1115" t="s">
        <v>1275</v>
      </c>
      <c r="B1115">
        <v>3333</v>
      </c>
      <c r="C1115">
        <v>700</v>
      </c>
      <c r="D1115">
        <v>18</v>
      </c>
      <c r="E1115" t="s">
        <v>14</v>
      </c>
      <c r="F1115" t="s">
        <v>26</v>
      </c>
      <c r="G1115" t="s">
        <v>57</v>
      </c>
      <c r="H1115" s="1">
        <v>45033</v>
      </c>
      <c r="I1115" t="s">
        <v>1276</v>
      </c>
      <c r="J1115" t="s">
        <v>18</v>
      </c>
      <c r="K1115" t="s">
        <v>19</v>
      </c>
      <c r="L1115" s="1">
        <v>45017</v>
      </c>
      <c r="M1115">
        <v>0.21002100210020999</v>
      </c>
      <c r="N1115">
        <v>1.41231855629659E-3</v>
      </c>
    </row>
    <row r="1116" spans="1:14" x14ac:dyDescent="0.25">
      <c r="A1116" t="s">
        <v>1277</v>
      </c>
      <c r="B1116">
        <v>7786</v>
      </c>
      <c r="C1116">
        <v>1202</v>
      </c>
      <c r="D1116">
        <v>4</v>
      </c>
      <c r="E1116" t="s">
        <v>40</v>
      </c>
      <c r="F1116" t="s">
        <v>52</v>
      </c>
      <c r="G1116" t="s">
        <v>36</v>
      </c>
      <c r="H1116" s="1">
        <v>44005</v>
      </c>
      <c r="I1116" t="s">
        <v>1278</v>
      </c>
      <c r="J1116" t="s">
        <v>21</v>
      </c>
      <c r="K1116" t="s">
        <v>138</v>
      </c>
      <c r="L1116" s="1">
        <v>43983</v>
      </c>
      <c r="M1116">
        <v>0.154379655792448</v>
      </c>
      <c r="N1116">
        <v>3.1384856806590799E-4</v>
      </c>
    </row>
    <row r="1117" spans="1:14" x14ac:dyDescent="0.25">
      <c r="A1117" t="s">
        <v>1279</v>
      </c>
      <c r="B1117">
        <v>7644</v>
      </c>
      <c r="C1117">
        <v>2428</v>
      </c>
      <c r="D1117">
        <v>6</v>
      </c>
      <c r="E1117" t="s">
        <v>14</v>
      </c>
      <c r="F1117" t="s">
        <v>71</v>
      </c>
      <c r="G1117" t="s">
        <v>30</v>
      </c>
      <c r="H1117" s="1">
        <v>44581</v>
      </c>
      <c r="I1117" t="s">
        <v>1280</v>
      </c>
      <c r="J1117" t="s">
        <v>21</v>
      </c>
      <c r="K1117" t="s">
        <v>55</v>
      </c>
      <c r="L1117" s="1">
        <v>44562</v>
      </c>
      <c r="M1117">
        <v>0.31763474620617499</v>
      </c>
      <c r="N1117">
        <v>4.7077285209886201E-4</v>
      </c>
    </row>
    <row r="1118" spans="1:14" x14ac:dyDescent="0.25">
      <c r="A1118" t="s">
        <v>1281</v>
      </c>
      <c r="B1118">
        <v>1476</v>
      </c>
      <c r="C1118">
        <v>247</v>
      </c>
      <c r="D1118">
        <v>5</v>
      </c>
      <c r="E1118" t="s">
        <v>40</v>
      </c>
      <c r="F1118" t="s">
        <v>91</v>
      </c>
      <c r="G1118" t="s">
        <v>57</v>
      </c>
      <c r="H1118" s="1">
        <v>45248</v>
      </c>
      <c r="I1118" t="s">
        <v>1282</v>
      </c>
      <c r="J1118" t="s">
        <v>38</v>
      </c>
      <c r="K1118" t="s">
        <v>39</v>
      </c>
      <c r="L1118" s="1">
        <v>45231</v>
      </c>
      <c r="M1118">
        <v>0.167344173441734</v>
      </c>
      <c r="N1118">
        <v>3.9231071008238503E-4</v>
      </c>
    </row>
    <row r="1119" spans="1:14" x14ac:dyDescent="0.25">
      <c r="A1119" t="s">
        <v>1281</v>
      </c>
      <c r="B1119">
        <v>1476</v>
      </c>
      <c r="C1119">
        <v>247</v>
      </c>
      <c r="D1119">
        <v>5</v>
      </c>
      <c r="E1119" t="s">
        <v>40</v>
      </c>
      <c r="F1119" t="s">
        <v>91</v>
      </c>
      <c r="G1119" t="s">
        <v>57</v>
      </c>
      <c r="H1119" s="1">
        <v>44580</v>
      </c>
      <c r="I1119" t="s">
        <v>1283</v>
      </c>
      <c r="J1119" t="s">
        <v>38</v>
      </c>
      <c r="K1119" t="s">
        <v>66</v>
      </c>
      <c r="L1119" s="1">
        <v>44562</v>
      </c>
      <c r="M1119">
        <v>0.167344173441734</v>
      </c>
      <c r="N1119">
        <v>3.9231071008238503E-4</v>
      </c>
    </row>
    <row r="1120" spans="1:14" x14ac:dyDescent="0.25">
      <c r="A1120" t="s">
        <v>1284</v>
      </c>
      <c r="B1120">
        <v>3445</v>
      </c>
      <c r="C1120">
        <v>1405</v>
      </c>
      <c r="D1120">
        <v>16</v>
      </c>
      <c r="E1120" t="s">
        <v>40</v>
      </c>
      <c r="F1120" t="s">
        <v>52</v>
      </c>
      <c r="G1120" t="s">
        <v>36</v>
      </c>
      <c r="H1120" s="1">
        <v>44095</v>
      </c>
      <c r="I1120" t="s">
        <v>1285</v>
      </c>
      <c r="J1120" t="s">
        <v>38</v>
      </c>
      <c r="K1120" t="s">
        <v>79</v>
      </c>
      <c r="L1120" s="1">
        <v>44075</v>
      </c>
      <c r="M1120">
        <v>0.40783744557329499</v>
      </c>
      <c r="N1120">
        <v>1.25539427226363E-3</v>
      </c>
    </row>
    <row r="1121" spans="1:14" x14ac:dyDescent="0.25">
      <c r="A1121" t="s">
        <v>1284</v>
      </c>
      <c r="B1121">
        <v>9837</v>
      </c>
      <c r="C1121">
        <v>384</v>
      </c>
      <c r="D1121">
        <v>1</v>
      </c>
      <c r="E1121" t="s">
        <v>14</v>
      </c>
      <c r="F1121" t="s">
        <v>35</v>
      </c>
      <c r="G1121" t="s">
        <v>16</v>
      </c>
      <c r="H1121" s="1">
        <v>44095</v>
      </c>
      <c r="I1121" t="s">
        <v>1285</v>
      </c>
      <c r="J1121" t="s">
        <v>38</v>
      </c>
      <c r="K1121" t="s">
        <v>79</v>
      </c>
      <c r="L1121" s="1">
        <v>44075</v>
      </c>
      <c r="M1121">
        <v>3.9036291552302503E-2</v>
      </c>
      <c r="N1121">
        <v>7.8462142016476997E-5</v>
      </c>
    </row>
    <row r="1122" spans="1:14" x14ac:dyDescent="0.25">
      <c r="A1122" t="s">
        <v>1286</v>
      </c>
      <c r="B1122">
        <v>1314</v>
      </c>
      <c r="C1122">
        <v>457</v>
      </c>
      <c r="D1122">
        <v>8</v>
      </c>
      <c r="E1122" t="s">
        <v>40</v>
      </c>
      <c r="F1122" t="s">
        <v>52</v>
      </c>
      <c r="G1122" t="s">
        <v>36</v>
      </c>
      <c r="H1122" s="1">
        <v>44358</v>
      </c>
      <c r="I1122" t="s">
        <v>1287</v>
      </c>
      <c r="J1122" t="s">
        <v>38</v>
      </c>
      <c r="K1122" t="s">
        <v>66</v>
      </c>
      <c r="L1122" s="1">
        <v>44348</v>
      </c>
      <c r="M1122">
        <v>0.34779299847792999</v>
      </c>
      <c r="N1122">
        <v>6.2769713613181597E-4</v>
      </c>
    </row>
    <row r="1123" spans="1:14" x14ac:dyDescent="0.25">
      <c r="A1123" t="s">
        <v>1288</v>
      </c>
      <c r="B1123">
        <v>5951</v>
      </c>
      <c r="C1123">
        <v>936</v>
      </c>
      <c r="D1123">
        <v>6</v>
      </c>
      <c r="E1123" t="s">
        <v>14</v>
      </c>
      <c r="F1123" t="s">
        <v>35</v>
      </c>
      <c r="G1123" t="s">
        <v>30</v>
      </c>
      <c r="H1123" s="1">
        <v>45511</v>
      </c>
      <c r="I1123" t="s">
        <v>1289</v>
      </c>
      <c r="J1123" t="s">
        <v>63</v>
      </c>
      <c r="K1123" t="s">
        <v>64</v>
      </c>
      <c r="L1123" s="1">
        <v>45505</v>
      </c>
      <c r="M1123">
        <v>0.15728449000167999</v>
      </c>
      <c r="N1123">
        <v>4.7077285209886201E-4</v>
      </c>
    </row>
    <row r="1124" spans="1:14" x14ac:dyDescent="0.25">
      <c r="A1124" t="s">
        <v>1288</v>
      </c>
      <c r="B1124">
        <v>5951</v>
      </c>
      <c r="C1124">
        <v>936</v>
      </c>
      <c r="D1124">
        <v>6</v>
      </c>
      <c r="E1124" t="s">
        <v>14</v>
      </c>
      <c r="F1124" t="s">
        <v>35</v>
      </c>
      <c r="G1124" t="s">
        <v>30</v>
      </c>
      <c r="H1124" s="1">
        <v>44768</v>
      </c>
      <c r="I1124" t="s">
        <v>1290</v>
      </c>
      <c r="J1124" t="s">
        <v>83</v>
      </c>
      <c r="K1124" t="s">
        <v>84</v>
      </c>
      <c r="L1124" s="1">
        <v>44743</v>
      </c>
      <c r="M1124">
        <v>0.15728449000167999</v>
      </c>
      <c r="N1124">
        <v>4.7077285209886201E-4</v>
      </c>
    </row>
    <row r="1125" spans="1:14" x14ac:dyDescent="0.25">
      <c r="A1125" t="s">
        <v>1291</v>
      </c>
      <c r="B1125">
        <v>992</v>
      </c>
      <c r="C1125">
        <v>177</v>
      </c>
      <c r="D1125">
        <v>6</v>
      </c>
      <c r="E1125" t="s">
        <v>14</v>
      </c>
      <c r="F1125" t="s">
        <v>71</v>
      </c>
      <c r="G1125" t="s">
        <v>16</v>
      </c>
      <c r="H1125" s="1">
        <v>45304</v>
      </c>
      <c r="I1125" t="s">
        <v>1292</v>
      </c>
      <c r="J1125" t="s">
        <v>38</v>
      </c>
      <c r="K1125" t="s">
        <v>39</v>
      </c>
      <c r="L1125" s="1">
        <v>45292</v>
      </c>
      <c r="M1125">
        <v>0.178427419354839</v>
      </c>
      <c r="N1125">
        <v>4.7077285209886201E-4</v>
      </c>
    </row>
    <row r="1126" spans="1:14" x14ac:dyDescent="0.25">
      <c r="A1126" t="s">
        <v>1291</v>
      </c>
      <c r="B1126">
        <v>4699</v>
      </c>
      <c r="C1126">
        <v>625</v>
      </c>
      <c r="D1126">
        <v>18</v>
      </c>
      <c r="E1126" t="s">
        <v>28</v>
      </c>
      <c r="F1126" t="s">
        <v>50</v>
      </c>
      <c r="G1126" t="s">
        <v>36</v>
      </c>
      <c r="H1126" s="1">
        <v>45304</v>
      </c>
      <c r="I1126" t="s">
        <v>1292</v>
      </c>
      <c r="J1126" t="s">
        <v>38</v>
      </c>
      <c r="K1126" t="s">
        <v>39</v>
      </c>
      <c r="L1126" s="1">
        <v>45292</v>
      </c>
      <c r="M1126">
        <v>0.13300702277080201</v>
      </c>
      <c r="N1126">
        <v>1.41231855629659E-3</v>
      </c>
    </row>
    <row r="1127" spans="1:14" x14ac:dyDescent="0.25">
      <c r="A1127" t="s">
        <v>1293</v>
      </c>
      <c r="B1127">
        <v>5557</v>
      </c>
      <c r="C1127">
        <v>2114</v>
      </c>
      <c r="D1127">
        <v>17</v>
      </c>
      <c r="E1127" t="s">
        <v>14</v>
      </c>
      <c r="F1127" t="s">
        <v>35</v>
      </c>
      <c r="G1127" t="s">
        <v>36</v>
      </c>
      <c r="H1127" s="1">
        <v>44344</v>
      </c>
      <c r="I1127" t="s">
        <v>1294</v>
      </c>
      <c r="J1127" t="s">
        <v>83</v>
      </c>
      <c r="K1127" t="s">
        <v>98</v>
      </c>
      <c r="L1127" s="1">
        <v>44317</v>
      </c>
      <c r="M1127">
        <v>0.380421090516466</v>
      </c>
      <c r="N1127">
        <v>1.33385641428011E-3</v>
      </c>
    </row>
    <row r="1128" spans="1:14" x14ac:dyDescent="0.25">
      <c r="A1128" t="s">
        <v>1295</v>
      </c>
      <c r="B1128">
        <v>3436</v>
      </c>
      <c r="C1128">
        <v>933</v>
      </c>
      <c r="D1128">
        <v>3</v>
      </c>
      <c r="E1128" t="s">
        <v>14</v>
      </c>
      <c r="F1128" t="s">
        <v>15</v>
      </c>
      <c r="G1128" t="s">
        <v>42</v>
      </c>
      <c r="H1128" s="1">
        <v>44360</v>
      </c>
      <c r="I1128" t="s">
        <v>1296</v>
      </c>
      <c r="J1128" t="s">
        <v>63</v>
      </c>
      <c r="K1128" t="s">
        <v>64</v>
      </c>
      <c r="L1128" s="1">
        <v>44348</v>
      </c>
      <c r="M1128">
        <v>0.27153667054714797</v>
      </c>
      <c r="N1128">
        <v>2.35386426049431E-4</v>
      </c>
    </row>
    <row r="1129" spans="1:14" x14ac:dyDescent="0.25">
      <c r="A1129" t="s">
        <v>1297</v>
      </c>
      <c r="B1129">
        <v>9840</v>
      </c>
      <c r="C1129">
        <v>3870</v>
      </c>
      <c r="D1129">
        <v>11</v>
      </c>
      <c r="E1129" t="s">
        <v>14</v>
      </c>
      <c r="F1129" t="s">
        <v>26</v>
      </c>
      <c r="G1129" t="s">
        <v>30</v>
      </c>
      <c r="H1129" s="1">
        <v>45041</v>
      </c>
      <c r="I1129" t="s">
        <v>1298</v>
      </c>
      <c r="J1129" t="s">
        <v>63</v>
      </c>
      <c r="K1129" t="s">
        <v>75</v>
      </c>
      <c r="L1129" s="1">
        <v>45017</v>
      </c>
      <c r="M1129">
        <v>0.39329268292682901</v>
      </c>
      <c r="N1129">
        <v>8.6308356218124801E-4</v>
      </c>
    </row>
    <row r="1130" spans="1:14" x14ac:dyDescent="0.25">
      <c r="A1130" t="s">
        <v>1299</v>
      </c>
      <c r="B1130">
        <v>7620</v>
      </c>
      <c r="C1130">
        <v>125</v>
      </c>
      <c r="D1130">
        <v>4</v>
      </c>
      <c r="E1130" t="s">
        <v>28</v>
      </c>
      <c r="F1130" t="s">
        <v>56</v>
      </c>
      <c r="G1130" t="s">
        <v>36</v>
      </c>
      <c r="H1130" s="1">
        <v>44382</v>
      </c>
      <c r="I1130" t="s">
        <v>1300</v>
      </c>
      <c r="J1130" t="s">
        <v>38</v>
      </c>
      <c r="K1130" t="s">
        <v>79</v>
      </c>
      <c r="L1130" s="1">
        <v>44378</v>
      </c>
      <c r="M1130">
        <v>1.6404199475065599E-2</v>
      </c>
      <c r="N1130">
        <v>3.1384856806590799E-4</v>
      </c>
    </row>
    <row r="1131" spans="1:14" x14ac:dyDescent="0.25">
      <c r="A1131" t="s">
        <v>1299</v>
      </c>
      <c r="B1131">
        <v>7620</v>
      </c>
      <c r="C1131">
        <v>125</v>
      </c>
      <c r="D1131">
        <v>4</v>
      </c>
      <c r="E1131" t="s">
        <v>28</v>
      </c>
      <c r="F1131" t="s">
        <v>56</v>
      </c>
      <c r="G1131" t="s">
        <v>36</v>
      </c>
      <c r="H1131" s="1">
        <v>45577</v>
      </c>
      <c r="I1131" t="s">
        <v>1301</v>
      </c>
      <c r="J1131" t="s">
        <v>38</v>
      </c>
      <c r="K1131" t="s">
        <v>79</v>
      </c>
      <c r="L1131" s="1">
        <v>45566</v>
      </c>
      <c r="M1131">
        <v>1.6404199475065599E-2</v>
      </c>
      <c r="N1131">
        <v>3.1384856806590799E-4</v>
      </c>
    </row>
    <row r="1132" spans="1:14" x14ac:dyDescent="0.25">
      <c r="A1132" t="s">
        <v>1302</v>
      </c>
      <c r="B1132">
        <v>4314</v>
      </c>
      <c r="C1132">
        <v>1591</v>
      </c>
      <c r="D1132">
        <v>5</v>
      </c>
      <c r="E1132" t="s">
        <v>40</v>
      </c>
      <c r="F1132" t="s">
        <v>41</v>
      </c>
      <c r="G1132" t="s">
        <v>30</v>
      </c>
      <c r="H1132" s="1">
        <v>44473</v>
      </c>
      <c r="I1132" t="s">
        <v>1303</v>
      </c>
      <c r="J1132" t="s">
        <v>24</v>
      </c>
      <c r="K1132" t="s">
        <v>25</v>
      </c>
      <c r="L1132" s="1">
        <v>44470</v>
      </c>
      <c r="M1132">
        <v>0.36879925822902199</v>
      </c>
      <c r="N1132">
        <v>3.9231071008238503E-4</v>
      </c>
    </row>
    <row r="1133" spans="1:14" x14ac:dyDescent="0.25">
      <c r="A1133" t="s">
        <v>1304</v>
      </c>
      <c r="B1133">
        <v>8851</v>
      </c>
      <c r="C1133">
        <v>999</v>
      </c>
      <c r="D1133">
        <v>12</v>
      </c>
      <c r="E1133" t="s">
        <v>14</v>
      </c>
      <c r="F1133" t="s">
        <v>35</v>
      </c>
      <c r="G1133" t="s">
        <v>16</v>
      </c>
      <c r="H1133" s="1">
        <v>45329</v>
      </c>
      <c r="I1133" t="s">
        <v>1305</v>
      </c>
      <c r="J1133" t="s">
        <v>83</v>
      </c>
      <c r="K1133" t="s">
        <v>90</v>
      </c>
      <c r="L1133" s="1">
        <v>45323</v>
      </c>
      <c r="M1133">
        <v>0.112868602417806</v>
      </c>
      <c r="N1133">
        <v>9.4154570419772402E-4</v>
      </c>
    </row>
    <row r="1134" spans="1:14" x14ac:dyDescent="0.25">
      <c r="A1134" t="s">
        <v>1306</v>
      </c>
      <c r="B1134">
        <v>544</v>
      </c>
      <c r="C1134">
        <v>272</v>
      </c>
      <c r="D1134">
        <v>2</v>
      </c>
      <c r="E1134" t="s">
        <v>14</v>
      </c>
      <c r="F1134" t="s">
        <v>35</v>
      </c>
      <c r="G1134" t="s">
        <v>30</v>
      </c>
      <c r="H1134" s="1">
        <v>44260</v>
      </c>
      <c r="I1134" t="s">
        <v>1307</v>
      </c>
      <c r="J1134" t="s">
        <v>63</v>
      </c>
      <c r="K1134" t="s">
        <v>112</v>
      </c>
      <c r="L1134" s="1">
        <v>44256</v>
      </c>
      <c r="M1134">
        <v>0.5</v>
      </c>
      <c r="N1134">
        <v>1.5692428403295399E-4</v>
      </c>
    </row>
    <row r="1135" spans="1:14" x14ac:dyDescent="0.25">
      <c r="A1135" t="s">
        <v>1306</v>
      </c>
      <c r="B1135">
        <v>544</v>
      </c>
      <c r="C1135">
        <v>272</v>
      </c>
      <c r="D1135">
        <v>2</v>
      </c>
      <c r="E1135" t="s">
        <v>14</v>
      </c>
      <c r="F1135" t="s">
        <v>35</v>
      </c>
      <c r="G1135" t="s">
        <v>30</v>
      </c>
      <c r="H1135" s="1">
        <v>45102</v>
      </c>
      <c r="I1135" t="s">
        <v>1308</v>
      </c>
      <c r="J1135" t="s">
        <v>24</v>
      </c>
      <c r="K1135" t="s">
        <v>25</v>
      </c>
      <c r="L1135" s="1">
        <v>45078</v>
      </c>
      <c r="M1135">
        <v>0.5</v>
      </c>
      <c r="N1135">
        <v>1.5692428403295399E-4</v>
      </c>
    </row>
    <row r="1136" spans="1:14" x14ac:dyDescent="0.25">
      <c r="A1136" t="s">
        <v>1309</v>
      </c>
      <c r="B1136">
        <v>537</v>
      </c>
      <c r="C1136">
        <v>142</v>
      </c>
      <c r="D1136">
        <v>20</v>
      </c>
      <c r="E1136" t="s">
        <v>28</v>
      </c>
      <c r="F1136" t="s">
        <v>50</v>
      </c>
      <c r="G1136" t="s">
        <v>36</v>
      </c>
      <c r="H1136" s="1">
        <v>44410</v>
      </c>
      <c r="I1136" t="s">
        <v>1310</v>
      </c>
      <c r="J1136" t="s">
        <v>21</v>
      </c>
      <c r="K1136" t="s">
        <v>138</v>
      </c>
      <c r="L1136" s="1">
        <v>44409</v>
      </c>
      <c r="M1136">
        <v>0.26443202979515801</v>
      </c>
      <c r="N1136">
        <v>1.5692428403295401E-3</v>
      </c>
    </row>
    <row r="1137" spans="1:14" x14ac:dyDescent="0.25">
      <c r="A1137" t="s">
        <v>1311</v>
      </c>
      <c r="B1137">
        <v>5944</v>
      </c>
      <c r="C1137">
        <v>2661</v>
      </c>
      <c r="D1137">
        <v>7</v>
      </c>
      <c r="E1137" t="s">
        <v>14</v>
      </c>
      <c r="F1137" t="s">
        <v>35</v>
      </c>
      <c r="G1137" t="s">
        <v>36</v>
      </c>
      <c r="H1137" s="1">
        <v>44637</v>
      </c>
      <c r="I1137" t="s">
        <v>1312</v>
      </c>
      <c r="J1137" t="s">
        <v>63</v>
      </c>
      <c r="K1137" t="s">
        <v>75</v>
      </c>
      <c r="L1137" s="1">
        <v>44621</v>
      </c>
      <c r="M1137">
        <v>0.44767833109017502</v>
      </c>
      <c r="N1137">
        <v>5.4923499411533899E-4</v>
      </c>
    </row>
    <row r="1138" spans="1:14" x14ac:dyDescent="0.25">
      <c r="A1138" t="s">
        <v>1313</v>
      </c>
      <c r="B1138">
        <v>2258</v>
      </c>
      <c r="C1138">
        <v>135</v>
      </c>
      <c r="D1138">
        <v>18</v>
      </c>
      <c r="E1138" t="s">
        <v>14</v>
      </c>
      <c r="F1138" t="s">
        <v>26</v>
      </c>
      <c r="G1138" t="s">
        <v>42</v>
      </c>
      <c r="H1138" s="1">
        <v>45329</v>
      </c>
      <c r="I1138" t="s">
        <v>1314</v>
      </c>
      <c r="J1138" t="s">
        <v>18</v>
      </c>
      <c r="K1138" t="s">
        <v>19</v>
      </c>
      <c r="L1138" s="1">
        <v>45323</v>
      </c>
      <c r="M1138">
        <v>5.9787422497785597E-2</v>
      </c>
      <c r="N1138">
        <v>1.41231855629659E-3</v>
      </c>
    </row>
    <row r="1139" spans="1:14" x14ac:dyDescent="0.25">
      <c r="A1139" t="s">
        <v>1313</v>
      </c>
      <c r="B1139">
        <v>2258</v>
      </c>
      <c r="C1139">
        <v>135</v>
      </c>
      <c r="D1139">
        <v>18</v>
      </c>
      <c r="E1139" t="s">
        <v>14</v>
      </c>
      <c r="F1139" t="s">
        <v>26</v>
      </c>
      <c r="G1139" t="s">
        <v>42</v>
      </c>
      <c r="H1139" s="1">
        <v>44792</v>
      </c>
      <c r="I1139" t="s">
        <v>1315</v>
      </c>
      <c r="J1139" t="s">
        <v>38</v>
      </c>
      <c r="K1139" t="s">
        <v>66</v>
      </c>
      <c r="L1139" s="1">
        <v>44774</v>
      </c>
      <c r="M1139">
        <v>5.9787422497785597E-2</v>
      </c>
      <c r="N1139">
        <v>1.41231855629659E-3</v>
      </c>
    </row>
    <row r="1140" spans="1:14" x14ac:dyDescent="0.25">
      <c r="A1140" t="s">
        <v>1316</v>
      </c>
      <c r="B1140">
        <v>9609</v>
      </c>
      <c r="C1140">
        <v>4339</v>
      </c>
      <c r="D1140">
        <v>3</v>
      </c>
      <c r="E1140" t="s">
        <v>40</v>
      </c>
      <c r="F1140" t="s">
        <v>52</v>
      </c>
      <c r="G1140" t="s">
        <v>30</v>
      </c>
      <c r="H1140" s="1">
        <v>45554</v>
      </c>
      <c r="I1140" t="s">
        <v>1317</v>
      </c>
      <c r="J1140" t="s">
        <v>63</v>
      </c>
      <c r="K1140" t="s">
        <v>112</v>
      </c>
      <c r="L1140" s="1">
        <v>45536</v>
      </c>
      <c r="M1140">
        <v>0.45155583307316099</v>
      </c>
      <c r="N1140">
        <v>2.35386426049431E-4</v>
      </c>
    </row>
    <row r="1141" spans="1:14" x14ac:dyDescent="0.25">
      <c r="A1141" t="s">
        <v>1316</v>
      </c>
      <c r="B1141">
        <v>9609</v>
      </c>
      <c r="C1141">
        <v>4339</v>
      </c>
      <c r="D1141">
        <v>3</v>
      </c>
      <c r="E1141" t="s">
        <v>40</v>
      </c>
      <c r="F1141" t="s">
        <v>52</v>
      </c>
      <c r="G1141" t="s">
        <v>30</v>
      </c>
      <c r="H1141" s="1">
        <v>43926</v>
      </c>
      <c r="I1141" t="s">
        <v>1318</v>
      </c>
      <c r="J1141" t="s">
        <v>83</v>
      </c>
      <c r="K1141" t="s">
        <v>90</v>
      </c>
      <c r="L1141" s="1">
        <v>43922</v>
      </c>
      <c r="M1141">
        <v>0.45155583307316099</v>
      </c>
      <c r="N1141">
        <v>2.35386426049431E-4</v>
      </c>
    </row>
    <row r="1142" spans="1:14" x14ac:dyDescent="0.25">
      <c r="A1142" t="s">
        <v>1319</v>
      </c>
      <c r="B1142">
        <v>9952</v>
      </c>
      <c r="C1142">
        <v>3301</v>
      </c>
      <c r="D1142">
        <v>15</v>
      </c>
      <c r="E1142" t="s">
        <v>14</v>
      </c>
      <c r="F1142" t="s">
        <v>15</v>
      </c>
      <c r="G1142" t="s">
        <v>30</v>
      </c>
      <c r="H1142" s="1">
        <v>44995</v>
      </c>
      <c r="I1142" t="s">
        <v>1320</v>
      </c>
      <c r="J1142" t="s">
        <v>63</v>
      </c>
      <c r="K1142" t="s">
        <v>64</v>
      </c>
      <c r="L1142" s="1">
        <v>44986</v>
      </c>
      <c r="M1142">
        <v>0.33169212218649502</v>
      </c>
      <c r="N1142">
        <v>1.17693213024716E-3</v>
      </c>
    </row>
    <row r="1143" spans="1:14" x14ac:dyDescent="0.25">
      <c r="A1143" t="s">
        <v>1321</v>
      </c>
      <c r="B1143">
        <v>9873</v>
      </c>
      <c r="C1143">
        <v>4585</v>
      </c>
      <c r="D1143">
        <v>7</v>
      </c>
      <c r="E1143" t="s">
        <v>28</v>
      </c>
      <c r="F1143" t="s">
        <v>56</v>
      </c>
      <c r="G1143" t="s">
        <v>42</v>
      </c>
      <c r="H1143" s="1">
        <v>44053</v>
      </c>
      <c r="I1143" t="s">
        <v>1322</v>
      </c>
      <c r="J1143" t="s">
        <v>83</v>
      </c>
      <c r="K1143" t="s">
        <v>84</v>
      </c>
      <c r="L1143" s="1">
        <v>44044</v>
      </c>
      <c r="M1143">
        <v>0.46439785272966699</v>
      </c>
      <c r="N1143">
        <v>5.4923499411533899E-4</v>
      </c>
    </row>
    <row r="1144" spans="1:14" x14ac:dyDescent="0.25">
      <c r="A1144" t="s">
        <v>1323</v>
      </c>
      <c r="B1144">
        <v>3560</v>
      </c>
      <c r="C1144">
        <v>1335</v>
      </c>
      <c r="D1144">
        <v>15</v>
      </c>
      <c r="E1144" t="s">
        <v>14</v>
      </c>
      <c r="F1144" t="s">
        <v>15</v>
      </c>
      <c r="G1144" t="s">
        <v>57</v>
      </c>
      <c r="H1144" s="1">
        <v>43950</v>
      </c>
      <c r="I1144" t="s">
        <v>1324</v>
      </c>
      <c r="J1144" t="s">
        <v>24</v>
      </c>
      <c r="K1144" t="s">
        <v>46</v>
      </c>
      <c r="L1144" s="1">
        <v>43922</v>
      </c>
      <c r="M1144">
        <v>0.375</v>
      </c>
      <c r="N1144">
        <v>1.17693213024716E-3</v>
      </c>
    </row>
    <row r="1145" spans="1:14" x14ac:dyDescent="0.25">
      <c r="A1145" t="s">
        <v>1323</v>
      </c>
      <c r="B1145">
        <v>3560</v>
      </c>
      <c r="C1145">
        <v>1335</v>
      </c>
      <c r="D1145">
        <v>15</v>
      </c>
      <c r="E1145" t="s">
        <v>14</v>
      </c>
      <c r="F1145" t="s">
        <v>15</v>
      </c>
      <c r="G1145" t="s">
        <v>57</v>
      </c>
      <c r="H1145" s="1">
        <v>45001</v>
      </c>
      <c r="I1145" t="s">
        <v>1325</v>
      </c>
      <c r="J1145" t="s">
        <v>21</v>
      </c>
      <c r="K1145" t="s">
        <v>55</v>
      </c>
      <c r="L1145" s="1">
        <v>44986</v>
      </c>
      <c r="M1145">
        <v>0.375</v>
      </c>
      <c r="N1145">
        <v>1.17693213024716E-3</v>
      </c>
    </row>
    <row r="1146" spans="1:14" x14ac:dyDescent="0.25">
      <c r="A1146" t="s">
        <v>1326</v>
      </c>
      <c r="B1146">
        <v>6528</v>
      </c>
      <c r="C1146">
        <v>76</v>
      </c>
      <c r="D1146">
        <v>9</v>
      </c>
      <c r="E1146" t="s">
        <v>14</v>
      </c>
      <c r="F1146" t="s">
        <v>71</v>
      </c>
      <c r="G1146" t="s">
        <v>30</v>
      </c>
      <c r="H1146" s="1">
        <v>43955</v>
      </c>
      <c r="I1146" t="s">
        <v>1327</v>
      </c>
      <c r="J1146" t="s">
        <v>24</v>
      </c>
      <c r="K1146" t="s">
        <v>25</v>
      </c>
      <c r="L1146" s="1">
        <v>43952</v>
      </c>
      <c r="M1146">
        <v>1.16421568627451E-2</v>
      </c>
      <c r="N1146">
        <v>7.0615927814829404E-4</v>
      </c>
    </row>
    <row r="1147" spans="1:14" x14ac:dyDescent="0.25">
      <c r="A1147" t="s">
        <v>1326</v>
      </c>
      <c r="B1147">
        <v>8930</v>
      </c>
      <c r="C1147">
        <v>3374</v>
      </c>
      <c r="D1147">
        <v>12</v>
      </c>
      <c r="E1147" t="s">
        <v>40</v>
      </c>
      <c r="F1147" t="s">
        <v>52</v>
      </c>
      <c r="G1147" t="s">
        <v>30</v>
      </c>
      <c r="H1147" s="1">
        <v>43955</v>
      </c>
      <c r="I1147" t="s">
        <v>1327</v>
      </c>
      <c r="J1147" t="s">
        <v>24</v>
      </c>
      <c r="K1147" t="s">
        <v>25</v>
      </c>
      <c r="L1147" s="1">
        <v>43952</v>
      </c>
      <c r="M1147">
        <v>0.37782754759238502</v>
      </c>
      <c r="N1147">
        <v>9.4154570419772402E-4</v>
      </c>
    </row>
    <row r="1148" spans="1:14" x14ac:dyDescent="0.25">
      <c r="A1148" t="s">
        <v>1328</v>
      </c>
      <c r="B1148">
        <v>4521</v>
      </c>
      <c r="C1148">
        <v>1778</v>
      </c>
      <c r="D1148">
        <v>9</v>
      </c>
      <c r="E1148" t="s">
        <v>28</v>
      </c>
      <c r="F1148" t="s">
        <v>56</v>
      </c>
      <c r="G1148" t="s">
        <v>30</v>
      </c>
      <c r="H1148" s="1">
        <v>45580</v>
      </c>
      <c r="I1148" t="s">
        <v>1329</v>
      </c>
      <c r="J1148" t="s">
        <v>18</v>
      </c>
      <c r="K1148" t="s">
        <v>122</v>
      </c>
      <c r="L1148" s="1">
        <v>45566</v>
      </c>
      <c r="M1148">
        <v>0.39327582393275801</v>
      </c>
      <c r="N1148">
        <v>7.0615927814829404E-4</v>
      </c>
    </row>
    <row r="1149" spans="1:14" x14ac:dyDescent="0.25">
      <c r="A1149" t="s">
        <v>1330</v>
      </c>
      <c r="B1149">
        <v>7091</v>
      </c>
      <c r="C1149">
        <v>2317</v>
      </c>
      <c r="D1149">
        <v>10</v>
      </c>
      <c r="E1149" t="s">
        <v>40</v>
      </c>
      <c r="F1149" t="s">
        <v>52</v>
      </c>
      <c r="G1149" t="s">
        <v>42</v>
      </c>
      <c r="H1149" s="1">
        <v>44721</v>
      </c>
      <c r="I1149" t="s">
        <v>1331</v>
      </c>
      <c r="J1149" t="s">
        <v>38</v>
      </c>
      <c r="K1149" t="s">
        <v>66</v>
      </c>
      <c r="L1149" s="1">
        <v>44713</v>
      </c>
      <c r="M1149">
        <v>0.32675222112537</v>
      </c>
      <c r="N1149">
        <v>7.8462142016477005E-4</v>
      </c>
    </row>
    <row r="1150" spans="1:14" x14ac:dyDescent="0.25">
      <c r="A1150" t="s">
        <v>1332</v>
      </c>
      <c r="B1150">
        <v>2101</v>
      </c>
      <c r="C1150">
        <v>287</v>
      </c>
      <c r="D1150">
        <v>8</v>
      </c>
      <c r="E1150" t="s">
        <v>28</v>
      </c>
      <c r="F1150" t="s">
        <v>29</v>
      </c>
      <c r="G1150" t="s">
        <v>57</v>
      </c>
      <c r="H1150" s="1">
        <v>44016</v>
      </c>
      <c r="I1150" t="s">
        <v>643</v>
      </c>
      <c r="J1150" t="s">
        <v>83</v>
      </c>
      <c r="K1150" t="s">
        <v>98</v>
      </c>
      <c r="L1150" s="1">
        <v>44013</v>
      </c>
      <c r="M1150">
        <v>0.13660161827701101</v>
      </c>
      <c r="N1150">
        <v>6.2769713613181597E-4</v>
      </c>
    </row>
    <row r="1151" spans="1:14" x14ac:dyDescent="0.25">
      <c r="A1151" t="s">
        <v>1332</v>
      </c>
      <c r="B1151">
        <v>2101</v>
      </c>
      <c r="C1151">
        <v>287</v>
      </c>
      <c r="D1151">
        <v>8</v>
      </c>
      <c r="E1151" t="s">
        <v>28</v>
      </c>
      <c r="F1151" t="s">
        <v>29</v>
      </c>
      <c r="G1151" t="s">
        <v>57</v>
      </c>
      <c r="H1151" s="1">
        <v>45025</v>
      </c>
      <c r="I1151" t="s">
        <v>1333</v>
      </c>
      <c r="J1151" t="s">
        <v>21</v>
      </c>
      <c r="K1151" t="s">
        <v>22</v>
      </c>
      <c r="L1151" s="1">
        <v>45017</v>
      </c>
      <c r="M1151">
        <v>0.13660161827701101</v>
      </c>
      <c r="N1151">
        <v>6.2769713613181597E-4</v>
      </c>
    </row>
    <row r="1152" spans="1:14" x14ac:dyDescent="0.25">
      <c r="A1152" t="s">
        <v>1334</v>
      </c>
      <c r="B1152">
        <v>8644</v>
      </c>
      <c r="C1152">
        <v>1968</v>
      </c>
      <c r="D1152">
        <v>9</v>
      </c>
      <c r="E1152" t="s">
        <v>28</v>
      </c>
      <c r="F1152" t="s">
        <v>56</v>
      </c>
      <c r="G1152" t="s">
        <v>30</v>
      </c>
      <c r="H1152" s="1">
        <v>45254</v>
      </c>
      <c r="I1152" t="s">
        <v>1335</v>
      </c>
      <c r="J1152" t="s">
        <v>21</v>
      </c>
      <c r="K1152" t="s">
        <v>22</v>
      </c>
      <c r="L1152" s="1">
        <v>45231</v>
      </c>
      <c r="M1152">
        <v>0.227672373900972</v>
      </c>
      <c r="N1152">
        <v>7.0615927814829404E-4</v>
      </c>
    </row>
    <row r="1153" spans="1:14" x14ac:dyDescent="0.25">
      <c r="A1153" t="s">
        <v>1336</v>
      </c>
      <c r="B1153">
        <v>6672</v>
      </c>
      <c r="C1153">
        <v>3319</v>
      </c>
      <c r="D1153">
        <v>4</v>
      </c>
      <c r="E1153" t="s">
        <v>40</v>
      </c>
      <c r="F1153" t="s">
        <v>41</v>
      </c>
      <c r="G1153" t="s">
        <v>16</v>
      </c>
      <c r="H1153" s="1">
        <v>45259</v>
      </c>
      <c r="I1153" t="s">
        <v>1337</v>
      </c>
      <c r="J1153" t="s">
        <v>63</v>
      </c>
      <c r="K1153" t="s">
        <v>64</v>
      </c>
      <c r="L1153" s="1">
        <v>45231</v>
      </c>
      <c r="M1153">
        <v>0.49745203836930502</v>
      </c>
      <c r="N1153">
        <v>3.1384856806590799E-4</v>
      </c>
    </row>
    <row r="1154" spans="1:14" x14ac:dyDescent="0.25">
      <c r="A1154" t="s">
        <v>1336</v>
      </c>
      <c r="B1154">
        <v>6672</v>
      </c>
      <c r="C1154">
        <v>3319</v>
      </c>
      <c r="D1154">
        <v>4</v>
      </c>
      <c r="E1154" t="s">
        <v>40</v>
      </c>
      <c r="F1154" t="s">
        <v>41</v>
      </c>
      <c r="G1154" t="s">
        <v>16</v>
      </c>
      <c r="H1154" s="1">
        <v>45432</v>
      </c>
      <c r="I1154" t="s">
        <v>1338</v>
      </c>
      <c r="J1154" t="s">
        <v>38</v>
      </c>
      <c r="K1154" t="s">
        <v>66</v>
      </c>
      <c r="L1154" s="1">
        <v>45413</v>
      </c>
      <c r="M1154">
        <v>0.49745203836930502</v>
      </c>
      <c r="N1154">
        <v>3.1384856806590799E-4</v>
      </c>
    </row>
    <row r="1155" spans="1:14" x14ac:dyDescent="0.25">
      <c r="A1155" t="s">
        <v>1339</v>
      </c>
      <c r="B1155">
        <v>4699</v>
      </c>
      <c r="C1155">
        <v>103</v>
      </c>
      <c r="D1155">
        <v>12</v>
      </c>
      <c r="E1155" t="s">
        <v>28</v>
      </c>
      <c r="F1155" t="s">
        <v>68</v>
      </c>
      <c r="G1155" t="s">
        <v>16</v>
      </c>
      <c r="H1155" s="1">
        <v>45433</v>
      </c>
      <c r="I1155" t="s">
        <v>1340</v>
      </c>
      <c r="J1155" t="s">
        <v>83</v>
      </c>
      <c r="K1155" t="s">
        <v>90</v>
      </c>
      <c r="L1155" s="1">
        <v>45413</v>
      </c>
      <c r="M1155">
        <v>2.19195573526282E-2</v>
      </c>
      <c r="N1155">
        <v>9.4154570419772402E-4</v>
      </c>
    </row>
    <row r="1156" spans="1:14" x14ac:dyDescent="0.25">
      <c r="A1156" t="s">
        <v>1341</v>
      </c>
      <c r="B1156">
        <v>4897</v>
      </c>
      <c r="C1156">
        <v>1001</v>
      </c>
      <c r="D1156">
        <v>14</v>
      </c>
      <c r="E1156" t="s">
        <v>40</v>
      </c>
      <c r="F1156" t="s">
        <v>52</v>
      </c>
      <c r="G1156" t="s">
        <v>30</v>
      </c>
      <c r="H1156" s="1">
        <v>44537</v>
      </c>
      <c r="I1156" t="s">
        <v>1342</v>
      </c>
      <c r="J1156" t="s">
        <v>63</v>
      </c>
      <c r="K1156" t="s">
        <v>112</v>
      </c>
      <c r="L1156" s="1">
        <v>44531</v>
      </c>
      <c r="M1156">
        <v>0.20441086379416001</v>
      </c>
      <c r="N1156">
        <v>1.0984699882306799E-3</v>
      </c>
    </row>
    <row r="1157" spans="1:14" x14ac:dyDescent="0.25">
      <c r="A1157" t="s">
        <v>1341</v>
      </c>
      <c r="B1157">
        <v>4897</v>
      </c>
      <c r="C1157">
        <v>1001</v>
      </c>
      <c r="D1157">
        <v>14</v>
      </c>
      <c r="E1157" t="s">
        <v>40</v>
      </c>
      <c r="F1157" t="s">
        <v>52</v>
      </c>
      <c r="G1157" t="s">
        <v>30</v>
      </c>
      <c r="H1157" s="1">
        <v>45663</v>
      </c>
      <c r="I1157" t="s">
        <v>1343</v>
      </c>
      <c r="J1157" t="s">
        <v>83</v>
      </c>
      <c r="K1157" t="s">
        <v>90</v>
      </c>
      <c r="L1157" s="1">
        <v>45658</v>
      </c>
      <c r="M1157">
        <v>0.20441086379416001</v>
      </c>
      <c r="N1157">
        <v>1.0984699882306799E-3</v>
      </c>
    </row>
    <row r="1158" spans="1:14" x14ac:dyDescent="0.25">
      <c r="A1158" t="s">
        <v>1344</v>
      </c>
      <c r="B1158">
        <v>5460</v>
      </c>
      <c r="C1158">
        <v>2088</v>
      </c>
      <c r="D1158">
        <v>14</v>
      </c>
      <c r="E1158" t="s">
        <v>40</v>
      </c>
      <c r="F1158" t="s">
        <v>41</v>
      </c>
      <c r="G1158" t="s">
        <v>30</v>
      </c>
      <c r="H1158" s="1">
        <v>44755</v>
      </c>
      <c r="I1158" t="s">
        <v>1345</v>
      </c>
      <c r="J1158" t="s">
        <v>24</v>
      </c>
      <c r="K1158" t="s">
        <v>25</v>
      </c>
      <c r="L1158" s="1">
        <v>44743</v>
      </c>
      <c r="M1158">
        <v>0.382417582417582</v>
      </c>
      <c r="N1158">
        <v>1.0984699882306799E-3</v>
      </c>
    </row>
    <row r="1159" spans="1:14" x14ac:dyDescent="0.25">
      <c r="A1159" t="s">
        <v>1344</v>
      </c>
      <c r="B1159">
        <v>5460</v>
      </c>
      <c r="C1159">
        <v>2088</v>
      </c>
      <c r="D1159">
        <v>14</v>
      </c>
      <c r="E1159" t="s">
        <v>40</v>
      </c>
      <c r="F1159" t="s">
        <v>41</v>
      </c>
      <c r="G1159" t="s">
        <v>30</v>
      </c>
      <c r="H1159" s="1">
        <v>43940</v>
      </c>
      <c r="I1159" t="s">
        <v>1346</v>
      </c>
      <c r="J1159" t="s">
        <v>83</v>
      </c>
      <c r="K1159" t="s">
        <v>90</v>
      </c>
      <c r="L1159" s="1">
        <v>43922</v>
      </c>
      <c r="M1159">
        <v>0.382417582417582</v>
      </c>
      <c r="N1159">
        <v>1.0984699882306799E-3</v>
      </c>
    </row>
    <row r="1160" spans="1:14" x14ac:dyDescent="0.25">
      <c r="A1160" t="s">
        <v>1347</v>
      </c>
      <c r="B1160">
        <v>9272</v>
      </c>
      <c r="C1160">
        <v>1771</v>
      </c>
      <c r="D1160">
        <v>19</v>
      </c>
      <c r="E1160" t="s">
        <v>28</v>
      </c>
      <c r="F1160" t="s">
        <v>50</v>
      </c>
      <c r="G1160" t="s">
        <v>16</v>
      </c>
      <c r="H1160" s="1">
        <v>45610</v>
      </c>
      <c r="I1160" t="s">
        <v>1348</v>
      </c>
      <c r="J1160" t="s">
        <v>21</v>
      </c>
      <c r="K1160" t="s">
        <v>55</v>
      </c>
      <c r="L1160" s="1">
        <v>45597</v>
      </c>
      <c r="M1160">
        <v>0.191005176876618</v>
      </c>
      <c r="N1160">
        <v>1.4907806983130601E-3</v>
      </c>
    </row>
    <row r="1161" spans="1:14" x14ac:dyDescent="0.25">
      <c r="A1161" t="s">
        <v>1347</v>
      </c>
      <c r="B1161">
        <v>9272</v>
      </c>
      <c r="C1161">
        <v>1771</v>
      </c>
      <c r="D1161">
        <v>19</v>
      </c>
      <c r="E1161" t="s">
        <v>28</v>
      </c>
      <c r="F1161" t="s">
        <v>50</v>
      </c>
      <c r="G1161" t="s">
        <v>16</v>
      </c>
      <c r="H1161" s="1">
        <v>43939</v>
      </c>
      <c r="I1161" t="s">
        <v>1349</v>
      </c>
      <c r="J1161" t="s">
        <v>63</v>
      </c>
      <c r="K1161" t="s">
        <v>64</v>
      </c>
      <c r="L1161" s="1">
        <v>43922</v>
      </c>
      <c r="M1161">
        <v>0.191005176876618</v>
      </c>
      <c r="N1161">
        <v>1.4907806983130601E-3</v>
      </c>
    </row>
    <row r="1162" spans="1:14" x14ac:dyDescent="0.25">
      <c r="A1162" t="s">
        <v>1350</v>
      </c>
      <c r="B1162">
        <v>7870</v>
      </c>
      <c r="C1162">
        <v>1057</v>
      </c>
      <c r="D1162">
        <v>15</v>
      </c>
      <c r="E1162" t="s">
        <v>28</v>
      </c>
      <c r="F1162" t="s">
        <v>29</v>
      </c>
      <c r="G1162" t="s">
        <v>42</v>
      </c>
      <c r="H1162" s="1">
        <v>45217</v>
      </c>
      <c r="I1162" t="s">
        <v>1351</v>
      </c>
      <c r="J1162" t="s">
        <v>63</v>
      </c>
      <c r="K1162" t="s">
        <v>112</v>
      </c>
      <c r="L1162" s="1">
        <v>45200</v>
      </c>
      <c r="M1162">
        <v>0.13430749682338</v>
      </c>
      <c r="N1162">
        <v>1.17693213024716E-3</v>
      </c>
    </row>
    <row r="1163" spans="1:14" x14ac:dyDescent="0.25">
      <c r="A1163" t="s">
        <v>1350</v>
      </c>
      <c r="B1163">
        <v>7870</v>
      </c>
      <c r="C1163">
        <v>1057</v>
      </c>
      <c r="D1163">
        <v>15</v>
      </c>
      <c r="E1163" t="s">
        <v>28</v>
      </c>
      <c r="F1163" t="s">
        <v>29</v>
      </c>
      <c r="G1163" t="s">
        <v>42</v>
      </c>
      <c r="H1163" s="1">
        <v>44276</v>
      </c>
      <c r="I1163" t="s">
        <v>1352</v>
      </c>
      <c r="J1163" t="s">
        <v>83</v>
      </c>
      <c r="K1163" t="s">
        <v>98</v>
      </c>
      <c r="L1163" s="1">
        <v>44256</v>
      </c>
      <c r="M1163">
        <v>0.13430749682338</v>
      </c>
      <c r="N1163">
        <v>1.17693213024716E-3</v>
      </c>
    </row>
    <row r="1164" spans="1:14" x14ac:dyDescent="0.25">
      <c r="A1164" t="s">
        <v>1353</v>
      </c>
      <c r="B1164">
        <v>7992</v>
      </c>
      <c r="C1164">
        <v>893</v>
      </c>
      <c r="D1164">
        <v>12</v>
      </c>
      <c r="E1164" t="s">
        <v>14</v>
      </c>
      <c r="F1164" t="s">
        <v>35</v>
      </c>
      <c r="G1164" t="s">
        <v>42</v>
      </c>
      <c r="H1164" s="1">
        <v>45548</v>
      </c>
      <c r="I1164" t="s">
        <v>1354</v>
      </c>
      <c r="J1164" t="s">
        <v>83</v>
      </c>
      <c r="K1164" t="s">
        <v>98</v>
      </c>
      <c r="L1164" s="1">
        <v>45536</v>
      </c>
      <c r="M1164">
        <v>0.11173673673673699</v>
      </c>
      <c r="N1164">
        <v>9.4154570419772402E-4</v>
      </c>
    </row>
    <row r="1165" spans="1:14" x14ac:dyDescent="0.25">
      <c r="A1165" t="s">
        <v>1353</v>
      </c>
      <c r="B1165">
        <v>7992</v>
      </c>
      <c r="C1165">
        <v>893</v>
      </c>
      <c r="D1165">
        <v>12</v>
      </c>
      <c r="E1165" t="s">
        <v>14</v>
      </c>
      <c r="F1165" t="s">
        <v>35</v>
      </c>
      <c r="G1165" t="s">
        <v>42</v>
      </c>
      <c r="H1165" s="1">
        <v>45050</v>
      </c>
      <c r="I1165" t="s">
        <v>1355</v>
      </c>
      <c r="J1165" t="s">
        <v>24</v>
      </c>
      <c r="K1165" t="s">
        <v>46</v>
      </c>
      <c r="L1165" s="1">
        <v>45047</v>
      </c>
      <c r="M1165">
        <v>0.11173673673673699</v>
      </c>
      <c r="N1165">
        <v>9.4154570419772402E-4</v>
      </c>
    </row>
    <row r="1166" spans="1:14" x14ac:dyDescent="0.25">
      <c r="A1166" t="s">
        <v>1353</v>
      </c>
      <c r="B1166">
        <v>7992</v>
      </c>
      <c r="C1166">
        <v>893</v>
      </c>
      <c r="D1166">
        <v>12</v>
      </c>
      <c r="E1166" t="s">
        <v>14</v>
      </c>
      <c r="F1166" t="s">
        <v>35</v>
      </c>
      <c r="G1166" t="s">
        <v>42</v>
      </c>
      <c r="H1166" s="1">
        <v>45077</v>
      </c>
      <c r="I1166" t="s">
        <v>1356</v>
      </c>
      <c r="J1166" t="s">
        <v>21</v>
      </c>
      <c r="K1166" t="s">
        <v>22</v>
      </c>
      <c r="L1166" s="1">
        <v>45047</v>
      </c>
      <c r="M1166">
        <v>0.11173673673673699</v>
      </c>
      <c r="N1166">
        <v>9.4154570419772402E-4</v>
      </c>
    </row>
    <row r="1167" spans="1:14" x14ac:dyDescent="0.25">
      <c r="A1167" t="s">
        <v>1357</v>
      </c>
      <c r="B1167">
        <v>6499</v>
      </c>
      <c r="C1167">
        <v>2189</v>
      </c>
      <c r="D1167">
        <v>18</v>
      </c>
      <c r="E1167" t="s">
        <v>14</v>
      </c>
      <c r="F1167" t="s">
        <v>15</v>
      </c>
      <c r="G1167" t="s">
        <v>36</v>
      </c>
      <c r="H1167" s="1">
        <v>45458</v>
      </c>
      <c r="I1167" t="s">
        <v>1358</v>
      </c>
      <c r="J1167" t="s">
        <v>24</v>
      </c>
      <c r="K1167" t="s">
        <v>46</v>
      </c>
      <c r="L1167" s="1">
        <v>45444</v>
      </c>
      <c r="M1167">
        <v>0.33682104939221402</v>
      </c>
      <c r="N1167">
        <v>1.41231855629659E-3</v>
      </c>
    </row>
    <row r="1168" spans="1:14" x14ac:dyDescent="0.25">
      <c r="A1168" t="s">
        <v>1357</v>
      </c>
      <c r="B1168">
        <v>6499</v>
      </c>
      <c r="C1168">
        <v>2189</v>
      </c>
      <c r="D1168">
        <v>18</v>
      </c>
      <c r="E1168" t="s">
        <v>14</v>
      </c>
      <c r="F1168" t="s">
        <v>15</v>
      </c>
      <c r="G1168" t="s">
        <v>36</v>
      </c>
      <c r="H1168" s="1">
        <v>44289</v>
      </c>
      <c r="I1168" t="s">
        <v>1359</v>
      </c>
      <c r="J1168" t="s">
        <v>18</v>
      </c>
      <c r="K1168" t="s">
        <v>32</v>
      </c>
      <c r="L1168" s="1">
        <v>44287</v>
      </c>
      <c r="M1168">
        <v>0.33682104939221402</v>
      </c>
      <c r="N1168">
        <v>1.41231855629659E-3</v>
      </c>
    </row>
    <row r="1169" spans="1:14" x14ac:dyDescent="0.25">
      <c r="A1169" t="s">
        <v>1360</v>
      </c>
      <c r="B1169">
        <v>8848</v>
      </c>
      <c r="C1169">
        <v>2090</v>
      </c>
      <c r="D1169">
        <v>9</v>
      </c>
      <c r="E1169" t="s">
        <v>28</v>
      </c>
      <c r="F1169" t="s">
        <v>29</v>
      </c>
      <c r="G1169" t="s">
        <v>30</v>
      </c>
      <c r="H1169" s="1">
        <v>45671</v>
      </c>
      <c r="I1169" t="s">
        <v>1361</v>
      </c>
      <c r="J1169" t="s">
        <v>38</v>
      </c>
      <c r="K1169" t="s">
        <v>66</v>
      </c>
      <c r="L1169" s="1">
        <v>45658</v>
      </c>
      <c r="M1169">
        <v>0.23621157323688999</v>
      </c>
      <c r="N1169">
        <v>7.0615927814829404E-4</v>
      </c>
    </row>
    <row r="1170" spans="1:14" x14ac:dyDescent="0.25">
      <c r="A1170" t="s">
        <v>1362</v>
      </c>
      <c r="B1170">
        <v>8044</v>
      </c>
      <c r="C1170">
        <v>3634</v>
      </c>
      <c r="D1170">
        <v>3</v>
      </c>
      <c r="E1170" t="s">
        <v>28</v>
      </c>
      <c r="F1170" t="s">
        <v>50</v>
      </c>
      <c r="G1170" t="s">
        <v>57</v>
      </c>
      <c r="H1170" s="1">
        <v>44189</v>
      </c>
      <c r="I1170" t="s">
        <v>1363</v>
      </c>
      <c r="J1170" t="s">
        <v>18</v>
      </c>
      <c r="K1170" t="s">
        <v>32</v>
      </c>
      <c r="L1170" s="1">
        <v>44166</v>
      </c>
      <c r="M1170">
        <v>0.45176529090005002</v>
      </c>
      <c r="N1170">
        <v>2.35386426049431E-4</v>
      </c>
    </row>
    <row r="1171" spans="1:14" x14ac:dyDescent="0.25">
      <c r="A1171" t="s">
        <v>1362</v>
      </c>
      <c r="B1171">
        <v>8044</v>
      </c>
      <c r="C1171">
        <v>3634</v>
      </c>
      <c r="D1171">
        <v>3</v>
      </c>
      <c r="E1171" t="s">
        <v>28</v>
      </c>
      <c r="F1171" t="s">
        <v>50</v>
      </c>
      <c r="G1171" t="s">
        <v>57</v>
      </c>
      <c r="H1171" s="1">
        <v>44841</v>
      </c>
      <c r="I1171" t="s">
        <v>1364</v>
      </c>
      <c r="J1171" t="s">
        <v>38</v>
      </c>
      <c r="K1171" t="s">
        <v>66</v>
      </c>
      <c r="L1171" s="1">
        <v>44835</v>
      </c>
      <c r="M1171">
        <v>0.45176529090005002</v>
      </c>
      <c r="N1171">
        <v>2.35386426049431E-4</v>
      </c>
    </row>
    <row r="1172" spans="1:14" x14ac:dyDescent="0.25">
      <c r="A1172" t="s">
        <v>1365</v>
      </c>
      <c r="B1172">
        <v>7417</v>
      </c>
      <c r="C1172">
        <v>1334</v>
      </c>
      <c r="D1172">
        <v>16</v>
      </c>
      <c r="E1172" t="s">
        <v>40</v>
      </c>
      <c r="F1172" t="s">
        <v>91</v>
      </c>
      <c r="G1172" t="s">
        <v>57</v>
      </c>
      <c r="H1172" s="1">
        <v>44474</v>
      </c>
      <c r="I1172" t="s">
        <v>1366</v>
      </c>
      <c r="J1172" t="s">
        <v>18</v>
      </c>
      <c r="K1172" t="s">
        <v>122</v>
      </c>
      <c r="L1172" s="1">
        <v>44470</v>
      </c>
      <c r="M1172">
        <v>0.179857085074828</v>
      </c>
      <c r="N1172">
        <v>1.25539427226363E-3</v>
      </c>
    </row>
    <row r="1173" spans="1:14" x14ac:dyDescent="0.25">
      <c r="A1173" t="s">
        <v>1367</v>
      </c>
      <c r="B1173">
        <v>3451</v>
      </c>
      <c r="C1173">
        <v>658</v>
      </c>
      <c r="D1173">
        <v>3</v>
      </c>
      <c r="E1173" t="s">
        <v>28</v>
      </c>
      <c r="F1173" t="s">
        <v>50</v>
      </c>
      <c r="G1173" t="s">
        <v>16</v>
      </c>
      <c r="H1173" s="1">
        <v>45654</v>
      </c>
      <c r="I1173" t="s">
        <v>1368</v>
      </c>
      <c r="J1173" t="s">
        <v>21</v>
      </c>
      <c r="K1173" t="s">
        <v>22</v>
      </c>
      <c r="L1173" s="1">
        <v>45627</v>
      </c>
      <c r="M1173">
        <v>0.19066937119675501</v>
      </c>
      <c r="N1173">
        <v>2.35386426049431E-4</v>
      </c>
    </row>
    <row r="1174" spans="1:14" x14ac:dyDescent="0.25">
      <c r="A1174" t="s">
        <v>1369</v>
      </c>
      <c r="B1174">
        <v>8531</v>
      </c>
      <c r="C1174">
        <v>2555</v>
      </c>
      <c r="D1174">
        <v>4</v>
      </c>
      <c r="E1174" t="s">
        <v>14</v>
      </c>
      <c r="F1174" t="s">
        <v>35</v>
      </c>
      <c r="G1174" t="s">
        <v>36</v>
      </c>
      <c r="H1174" s="1">
        <v>44695</v>
      </c>
      <c r="I1174" t="s">
        <v>1370</v>
      </c>
      <c r="J1174" t="s">
        <v>63</v>
      </c>
      <c r="K1174" t="s">
        <v>75</v>
      </c>
      <c r="L1174" s="1">
        <v>44682</v>
      </c>
      <c r="M1174">
        <v>0.29949595592544798</v>
      </c>
      <c r="N1174">
        <v>3.1384856806590799E-4</v>
      </c>
    </row>
    <row r="1175" spans="1:14" x14ac:dyDescent="0.25">
      <c r="A1175" t="s">
        <v>1371</v>
      </c>
      <c r="B1175">
        <v>6646</v>
      </c>
      <c r="C1175">
        <v>848</v>
      </c>
      <c r="D1175">
        <v>15</v>
      </c>
      <c r="E1175" t="s">
        <v>40</v>
      </c>
      <c r="F1175" t="s">
        <v>52</v>
      </c>
      <c r="G1175" t="s">
        <v>30</v>
      </c>
      <c r="H1175" s="1">
        <v>45157</v>
      </c>
      <c r="I1175" t="s">
        <v>1372</v>
      </c>
      <c r="J1175" t="s">
        <v>24</v>
      </c>
      <c r="K1175" t="s">
        <v>46</v>
      </c>
      <c r="L1175" s="1">
        <v>45139</v>
      </c>
      <c r="M1175">
        <v>0.12759554619319899</v>
      </c>
      <c r="N1175">
        <v>1.17693213024716E-3</v>
      </c>
    </row>
    <row r="1176" spans="1:14" x14ac:dyDescent="0.25">
      <c r="A1176" t="s">
        <v>1371</v>
      </c>
      <c r="B1176">
        <v>6646</v>
      </c>
      <c r="C1176">
        <v>848</v>
      </c>
      <c r="D1176">
        <v>15</v>
      </c>
      <c r="E1176" t="s">
        <v>40</v>
      </c>
      <c r="F1176" t="s">
        <v>52</v>
      </c>
      <c r="G1176" t="s">
        <v>30</v>
      </c>
      <c r="H1176" s="1">
        <v>45121</v>
      </c>
      <c r="I1176" t="s">
        <v>1373</v>
      </c>
      <c r="J1176" t="s">
        <v>24</v>
      </c>
      <c r="K1176" t="s">
        <v>25</v>
      </c>
      <c r="L1176" s="1">
        <v>45108</v>
      </c>
      <c r="M1176">
        <v>0.12759554619319899</v>
      </c>
      <c r="N1176">
        <v>1.17693213024716E-3</v>
      </c>
    </row>
    <row r="1177" spans="1:14" x14ac:dyDescent="0.25">
      <c r="A1177" t="s">
        <v>1374</v>
      </c>
      <c r="B1177">
        <v>2553</v>
      </c>
      <c r="C1177">
        <v>907</v>
      </c>
      <c r="D1177">
        <v>6</v>
      </c>
      <c r="E1177" t="s">
        <v>14</v>
      </c>
      <c r="F1177" t="s">
        <v>35</v>
      </c>
      <c r="G1177" t="s">
        <v>42</v>
      </c>
      <c r="H1177" s="1">
        <v>45099</v>
      </c>
      <c r="I1177" t="s">
        <v>1375</v>
      </c>
      <c r="J1177" t="s">
        <v>63</v>
      </c>
      <c r="K1177" t="s">
        <v>64</v>
      </c>
      <c r="L1177" s="1">
        <v>45078</v>
      </c>
      <c r="M1177">
        <v>0.35526831179005097</v>
      </c>
      <c r="N1177">
        <v>4.7077285209886201E-4</v>
      </c>
    </row>
    <row r="1178" spans="1:14" x14ac:dyDescent="0.25">
      <c r="A1178" t="s">
        <v>1376</v>
      </c>
      <c r="B1178">
        <v>8490</v>
      </c>
      <c r="C1178">
        <v>3485</v>
      </c>
      <c r="D1178">
        <v>3</v>
      </c>
      <c r="E1178" t="s">
        <v>14</v>
      </c>
      <c r="F1178" t="s">
        <v>71</v>
      </c>
      <c r="G1178" t="s">
        <v>42</v>
      </c>
      <c r="H1178" s="1">
        <v>45006</v>
      </c>
      <c r="I1178" t="s">
        <v>1377</v>
      </c>
      <c r="J1178" t="s">
        <v>24</v>
      </c>
      <c r="K1178" t="s">
        <v>46</v>
      </c>
      <c r="L1178" s="1">
        <v>44986</v>
      </c>
      <c r="M1178">
        <v>0.41048292108362799</v>
      </c>
      <c r="N1178">
        <v>2.35386426049431E-4</v>
      </c>
    </row>
    <row r="1179" spans="1:14" x14ac:dyDescent="0.25">
      <c r="A1179" t="s">
        <v>1378</v>
      </c>
      <c r="B1179">
        <v>2689</v>
      </c>
      <c r="C1179">
        <v>1330</v>
      </c>
      <c r="D1179">
        <v>3</v>
      </c>
      <c r="E1179" t="s">
        <v>40</v>
      </c>
      <c r="F1179" t="s">
        <v>41</v>
      </c>
      <c r="G1179" t="s">
        <v>16</v>
      </c>
      <c r="H1179" s="1">
        <v>44178</v>
      </c>
      <c r="I1179" t="s">
        <v>1379</v>
      </c>
      <c r="J1179" t="s">
        <v>38</v>
      </c>
      <c r="K1179" t="s">
        <v>39</v>
      </c>
      <c r="L1179" s="1">
        <v>44166</v>
      </c>
      <c r="M1179">
        <v>0.49460766084046098</v>
      </c>
      <c r="N1179">
        <v>2.35386426049431E-4</v>
      </c>
    </row>
    <row r="1180" spans="1:14" x14ac:dyDescent="0.25">
      <c r="A1180" t="s">
        <v>1378</v>
      </c>
      <c r="B1180">
        <v>2689</v>
      </c>
      <c r="C1180">
        <v>1330</v>
      </c>
      <c r="D1180">
        <v>3</v>
      </c>
      <c r="E1180" t="s">
        <v>40</v>
      </c>
      <c r="F1180" t="s">
        <v>41</v>
      </c>
      <c r="G1180" t="s">
        <v>16</v>
      </c>
      <c r="H1180" s="1">
        <v>45441</v>
      </c>
      <c r="I1180" t="s">
        <v>1380</v>
      </c>
      <c r="J1180" t="s">
        <v>18</v>
      </c>
      <c r="K1180" t="s">
        <v>19</v>
      </c>
      <c r="L1180" s="1">
        <v>45413</v>
      </c>
      <c r="M1180">
        <v>0.49460766084046098</v>
      </c>
      <c r="N1180">
        <v>2.35386426049431E-4</v>
      </c>
    </row>
    <row r="1181" spans="1:14" x14ac:dyDescent="0.25">
      <c r="A1181" t="s">
        <v>1381</v>
      </c>
      <c r="B1181">
        <v>815</v>
      </c>
      <c r="C1181">
        <v>54</v>
      </c>
      <c r="D1181">
        <v>14</v>
      </c>
      <c r="E1181" t="s">
        <v>40</v>
      </c>
      <c r="F1181" t="s">
        <v>41</v>
      </c>
      <c r="G1181" t="s">
        <v>30</v>
      </c>
      <c r="H1181" s="1">
        <v>44341</v>
      </c>
      <c r="I1181" t="s">
        <v>1382</v>
      </c>
      <c r="J1181" t="s">
        <v>38</v>
      </c>
      <c r="K1181" t="s">
        <v>79</v>
      </c>
      <c r="L1181" s="1">
        <v>44317</v>
      </c>
      <c r="M1181">
        <v>6.6257668711656406E-2</v>
      </c>
      <c r="N1181">
        <v>1.0984699882306799E-3</v>
      </c>
    </row>
    <row r="1182" spans="1:14" x14ac:dyDescent="0.25">
      <c r="A1182" t="s">
        <v>1383</v>
      </c>
      <c r="B1182">
        <v>5024</v>
      </c>
      <c r="C1182">
        <v>379</v>
      </c>
      <c r="D1182">
        <v>2</v>
      </c>
      <c r="E1182" t="s">
        <v>28</v>
      </c>
      <c r="F1182" t="s">
        <v>56</v>
      </c>
      <c r="G1182" t="s">
        <v>16</v>
      </c>
      <c r="H1182" s="1">
        <v>45384</v>
      </c>
      <c r="I1182" t="s">
        <v>1384</v>
      </c>
      <c r="J1182" t="s">
        <v>63</v>
      </c>
      <c r="K1182" t="s">
        <v>64</v>
      </c>
      <c r="L1182" s="1">
        <v>45383</v>
      </c>
      <c r="M1182">
        <v>7.5437898089172006E-2</v>
      </c>
      <c r="N1182">
        <v>1.5692428403295399E-4</v>
      </c>
    </row>
    <row r="1183" spans="1:14" x14ac:dyDescent="0.25">
      <c r="A1183" t="s">
        <v>1383</v>
      </c>
      <c r="B1183">
        <v>5024</v>
      </c>
      <c r="C1183">
        <v>379</v>
      </c>
      <c r="D1183">
        <v>2</v>
      </c>
      <c r="E1183" t="s">
        <v>28</v>
      </c>
      <c r="F1183" t="s">
        <v>56</v>
      </c>
      <c r="G1183" t="s">
        <v>16</v>
      </c>
      <c r="H1183" s="1">
        <v>44898</v>
      </c>
      <c r="I1183" t="s">
        <v>1385</v>
      </c>
      <c r="J1183" t="s">
        <v>21</v>
      </c>
      <c r="K1183" t="s">
        <v>138</v>
      </c>
      <c r="L1183" s="1">
        <v>44896</v>
      </c>
      <c r="M1183">
        <v>7.5437898089172006E-2</v>
      </c>
      <c r="N1183">
        <v>1.5692428403295399E-4</v>
      </c>
    </row>
    <row r="1184" spans="1:14" x14ac:dyDescent="0.25">
      <c r="A1184" t="s">
        <v>1386</v>
      </c>
      <c r="B1184">
        <v>8962</v>
      </c>
      <c r="C1184">
        <v>2444</v>
      </c>
      <c r="D1184">
        <v>18</v>
      </c>
      <c r="E1184" t="s">
        <v>14</v>
      </c>
      <c r="F1184" t="s">
        <v>15</v>
      </c>
      <c r="G1184" t="s">
        <v>30</v>
      </c>
      <c r="H1184" s="1">
        <v>44389</v>
      </c>
      <c r="I1184" t="s">
        <v>1387</v>
      </c>
      <c r="J1184" t="s">
        <v>83</v>
      </c>
      <c r="K1184" t="s">
        <v>98</v>
      </c>
      <c r="L1184" s="1">
        <v>44378</v>
      </c>
      <c r="M1184">
        <v>0.27270698504798002</v>
      </c>
      <c r="N1184">
        <v>1.41231855629659E-3</v>
      </c>
    </row>
    <row r="1185" spans="1:14" x14ac:dyDescent="0.25">
      <c r="A1185" t="s">
        <v>1386</v>
      </c>
      <c r="B1185">
        <v>8962</v>
      </c>
      <c r="C1185">
        <v>2444</v>
      </c>
      <c r="D1185">
        <v>18</v>
      </c>
      <c r="E1185" t="s">
        <v>14</v>
      </c>
      <c r="F1185" t="s">
        <v>15</v>
      </c>
      <c r="G1185" t="s">
        <v>30</v>
      </c>
      <c r="H1185" s="1">
        <v>43912</v>
      </c>
      <c r="I1185" t="s">
        <v>1388</v>
      </c>
      <c r="J1185" t="s">
        <v>21</v>
      </c>
      <c r="K1185" t="s">
        <v>138</v>
      </c>
      <c r="L1185" s="1">
        <v>43891</v>
      </c>
      <c r="M1185">
        <v>0.27270698504798002</v>
      </c>
      <c r="N1185">
        <v>1.41231855629659E-3</v>
      </c>
    </row>
    <row r="1186" spans="1:14" x14ac:dyDescent="0.25">
      <c r="A1186" t="s">
        <v>1389</v>
      </c>
      <c r="B1186">
        <v>1961</v>
      </c>
      <c r="C1186">
        <v>59</v>
      </c>
      <c r="D1186">
        <v>12</v>
      </c>
      <c r="E1186" t="s">
        <v>28</v>
      </c>
      <c r="F1186" t="s">
        <v>68</v>
      </c>
      <c r="G1186" t="s">
        <v>16</v>
      </c>
      <c r="H1186" s="1">
        <v>44052</v>
      </c>
      <c r="I1186" t="s">
        <v>1390</v>
      </c>
      <c r="J1186" t="s">
        <v>18</v>
      </c>
      <c r="K1186" t="s">
        <v>32</v>
      </c>
      <c r="L1186" s="1">
        <v>44044</v>
      </c>
      <c r="M1186">
        <v>3.0086690464049E-2</v>
      </c>
      <c r="N1186">
        <v>9.4154570419772402E-4</v>
      </c>
    </row>
    <row r="1187" spans="1:14" x14ac:dyDescent="0.25">
      <c r="A1187" t="s">
        <v>1391</v>
      </c>
      <c r="B1187">
        <v>526</v>
      </c>
      <c r="C1187">
        <v>83</v>
      </c>
      <c r="D1187">
        <v>4</v>
      </c>
      <c r="E1187" t="s">
        <v>40</v>
      </c>
      <c r="F1187" t="s">
        <v>52</v>
      </c>
      <c r="G1187" t="s">
        <v>42</v>
      </c>
      <c r="H1187" s="1">
        <v>44610</v>
      </c>
      <c r="I1187" t="s">
        <v>1392</v>
      </c>
      <c r="J1187" t="s">
        <v>21</v>
      </c>
      <c r="K1187" t="s">
        <v>22</v>
      </c>
      <c r="L1187" s="1">
        <v>44593</v>
      </c>
      <c r="M1187">
        <v>0.157794676806084</v>
      </c>
      <c r="N1187">
        <v>3.1384856806590799E-4</v>
      </c>
    </row>
    <row r="1188" spans="1:14" x14ac:dyDescent="0.25">
      <c r="A1188" t="s">
        <v>1393</v>
      </c>
      <c r="B1188">
        <v>6093</v>
      </c>
      <c r="C1188">
        <v>3042</v>
      </c>
      <c r="D1188">
        <v>9</v>
      </c>
      <c r="E1188" t="s">
        <v>40</v>
      </c>
      <c r="F1188" t="s">
        <v>91</v>
      </c>
      <c r="G1188" t="s">
        <v>30</v>
      </c>
      <c r="H1188" s="1">
        <v>44361</v>
      </c>
      <c r="I1188" t="s">
        <v>1394</v>
      </c>
      <c r="J1188" t="s">
        <v>38</v>
      </c>
      <c r="K1188" t="s">
        <v>79</v>
      </c>
      <c r="L1188" s="1">
        <v>44348</v>
      </c>
      <c r="M1188">
        <v>0.49926144756277702</v>
      </c>
      <c r="N1188">
        <v>7.0615927814829404E-4</v>
      </c>
    </row>
    <row r="1189" spans="1:14" x14ac:dyDescent="0.25">
      <c r="A1189" t="s">
        <v>1393</v>
      </c>
      <c r="B1189">
        <v>6093</v>
      </c>
      <c r="C1189">
        <v>3042</v>
      </c>
      <c r="D1189">
        <v>9</v>
      </c>
      <c r="E1189" t="s">
        <v>40</v>
      </c>
      <c r="F1189" t="s">
        <v>91</v>
      </c>
      <c r="G1189" t="s">
        <v>30</v>
      </c>
      <c r="H1189" s="1">
        <v>44256</v>
      </c>
      <c r="I1189" t="s">
        <v>1395</v>
      </c>
      <c r="J1189" t="s">
        <v>38</v>
      </c>
      <c r="K1189" t="s">
        <v>66</v>
      </c>
      <c r="L1189" s="1">
        <v>44256</v>
      </c>
      <c r="M1189">
        <v>0.49926144756277702</v>
      </c>
      <c r="N1189">
        <v>7.0615927814829404E-4</v>
      </c>
    </row>
    <row r="1190" spans="1:14" x14ac:dyDescent="0.25">
      <c r="A1190" t="s">
        <v>1396</v>
      </c>
      <c r="B1190">
        <v>7699</v>
      </c>
      <c r="C1190">
        <v>246</v>
      </c>
      <c r="D1190">
        <v>5</v>
      </c>
      <c r="E1190" t="s">
        <v>14</v>
      </c>
      <c r="F1190" t="s">
        <v>15</v>
      </c>
      <c r="G1190" t="s">
        <v>30</v>
      </c>
      <c r="H1190" s="1">
        <v>45192</v>
      </c>
      <c r="I1190" t="s">
        <v>1397</v>
      </c>
      <c r="J1190" t="s">
        <v>63</v>
      </c>
      <c r="K1190" t="s">
        <v>75</v>
      </c>
      <c r="L1190" s="1">
        <v>45170</v>
      </c>
      <c r="M1190">
        <v>3.1952201584621399E-2</v>
      </c>
      <c r="N1190">
        <v>3.9231071008238503E-4</v>
      </c>
    </row>
    <row r="1191" spans="1:14" x14ac:dyDescent="0.25">
      <c r="A1191" t="s">
        <v>1398</v>
      </c>
      <c r="B1191">
        <v>8825</v>
      </c>
      <c r="C1191">
        <v>3594</v>
      </c>
      <c r="D1191">
        <v>15</v>
      </c>
      <c r="E1191" t="s">
        <v>40</v>
      </c>
      <c r="F1191" t="s">
        <v>41</v>
      </c>
      <c r="G1191" t="s">
        <v>30</v>
      </c>
      <c r="H1191" s="1">
        <v>45504</v>
      </c>
      <c r="I1191" t="s">
        <v>1399</v>
      </c>
      <c r="J1191" t="s">
        <v>24</v>
      </c>
      <c r="K1191" t="s">
        <v>46</v>
      </c>
      <c r="L1191" s="1">
        <v>45474</v>
      </c>
      <c r="M1191">
        <v>0.407252124645892</v>
      </c>
      <c r="N1191">
        <v>1.17693213024716E-3</v>
      </c>
    </row>
    <row r="1192" spans="1:14" x14ac:dyDescent="0.25">
      <c r="A1192" t="s">
        <v>1400</v>
      </c>
      <c r="B1192">
        <v>2082</v>
      </c>
      <c r="C1192">
        <v>642</v>
      </c>
      <c r="D1192">
        <v>8</v>
      </c>
      <c r="E1192" t="s">
        <v>14</v>
      </c>
      <c r="F1192" t="s">
        <v>71</v>
      </c>
      <c r="G1192" t="s">
        <v>36</v>
      </c>
      <c r="H1192" s="1">
        <v>43984</v>
      </c>
      <c r="I1192" t="s">
        <v>1401</v>
      </c>
      <c r="J1192" t="s">
        <v>24</v>
      </c>
      <c r="K1192" t="s">
        <v>60</v>
      </c>
      <c r="L1192" s="1">
        <v>43983</v>
      </c>
      <c r="M1192">
        <v>0.30835734870317</v>
      </c>
      <c r="N1192">
        <v>6.2769713613181597E-4</v>
      </c>
    </row>
    <row r="1193" spans="1:14" x14ac:dyDescent="0.25">
      <c r="A1193" t="s">
        <v>1400</v>
      </c>
      <c r="B1193">
        <v>2082</v>
      </c>
      <c r="C1193">
        <v>642</v>
      </c>
      <c r="D1193">
        <v>8</v>
      </c>
      <c r="E1193" t="s">
        <v>14</v>
      </c>
      <c r="F1193" t="s">
        <v>71</v>
      </c>
      <c r="G1193" t="s">
        <v>36</v>
      </c>
      <c r="H1193" s="1">
        <v>44910</v>
      </c>
      <c r="I1193" t="s">
        <v>1402</v>
      </c>
      <c r="J1193" t="s">
        <v>63</v>
      </c>
      <c r="K1193" t="s">
        <v>75</v>
      </c>
      <c r="L1193" s="1">
        <v>44896</v>
      </c>
      <c r="M1193">
        <v>0.30835734870317</v>
      </c>
      <c r="N1193">
        <v>6.2769713613181597E-4</v>
      </c>
    </row>
    <row r="1194" spans="1:14" x14ac:dyDescent="0.25">
      <c r="A1194" t="s">
        <v>1400</v>
      </c>
      <c r="B1194">
        <v>2082</v>
      </c>
      <c r="C1194">
        <v>642</v>
      </c>
      <c r="D1194">
        <v>8</v>
      </c>
      <c r="E1194" t="s">
        <v>14</v>
      </c>
      <c r="F1194" t="s">
        <v>71</v>
      </c>
      <c r="G1194" t="s">
        <v>36</v>
      </c>
      <c r="H1194" s="1">
        <v>44050</v>
      </c>
      <c r="I1194" t="s">
        <v>1403</v>
      </c>
      <c r="J1194" t="s">
        <v>24</v>
      </c>
      <c r="K1194" t="s">
        <v>25</v>
      </c>
      <c r="L1194" s="1">
        <v>44044</v>
      </c>
      <c r="M1194">
        <v>0.30835734870317</v>
      </c>
      <c r="N1194">
        <v>6.2769713613181597E-4</v>
      </c>
    </row>
    <row r="1195" spans="1:14" x14ac:dyDescent="0.25">
      <c r="A1195" t="s">
        <v>1404</v>
      </c>
      <c r="B1195">
        <v>914</v>
      </c>
      <c r="C1195">
        <v>163</v>
      </c>
      <c r="D1195">
        <v>13</v>
      </c>
      <c r="E1195" t="s">
        <v>28</v>
      </c>
      <c r="F1195" t="s">
        <v>50</v>
      </c>
      <c r="G1195" t="s">
        <v>16</v>
      </c>
      <c r="H1195" s="1">
        <v>45591</v>
      </c>
      <c r="I1195" t="s">
        <v>1405</v>
      </c>
      <c r="J1195" t="s">
        <v>21</v>
      </c>
      <c r="K1195" t="s">
        <v>22</v>
      </c>
      <c r="L1195" s="1">
        <v>45566</v>
      </c>
      <c r="M1195">
        <v>0.17833698030634601</v>
      </c>
      <c r="N1195">
        <v>1.0200078462141999E-3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AACBD-16E8-47BE-8D19-2626F6C69530}">
  <dimension ref="B2:AE21"/>
  <sheetViews>
    <sheetView topLeftCell="M1" zoomScale="130" zoomScaleNormal="130" workbookViewId="0">
      <selection activeCell="T9" sqref="T9"/>
    </sheetView>
  </sheetViews>
  <sheetFormatPr defaultRowHeight="15" x14ac:dyDescent="0.25"/>
  <cols>
    <col min="2" max="2" width="10.42578125" bestFit="1" customWidth="1"/>
    <col min="3" max="3" width="10.85546875" bestFit="1" customWidth="1"/>
    <col min="4" max="4" width="18.7109375" bestFit="1" customWidth="1"/>
    <col min="5" max="5" width="10.5703125" bestFit="1" customWidth="1"/>
    <col min="6" max="6" width="14.85546875" bestFit="1" customWidth="1"/>
    <col min="7" max="7" width="8.140625" customWidth="1"/>
    <col min="8" max="8" width="13.140625" bestFit="1" customWidth="1"/>
    <col min="9" max="9" width="10.42578125" bestFit="1" customWidth="1"/>
    <col min="10" max="10" width="10.85546875" customWidth="1"/>
    <col min="11" max="11" width="13.140625" bestFit="1" customWidth="1"/>
    <col min="12" max="12" width="10.42578125" bestFit="1" customWidth="1"/>
    <col min="13" max="13" width="14.42578125" bestFit="1" customWidth="1"/>
    <col min="14" max="14" width="13.140625" bestFit="1" customWidth="1"/>
    <col min="15" max="15" width="10.42578125" bestFit="1" customWidth="1"/>
    <col min="16" max="16" width="14.42578125" bestFit="1" customWidth="1"/>
    <col min="17" max="17" width="14.5703125" bestFit="1" customWidth="1"/>
    <col min="18" max="18" width="17.5703125" bestFit="1" customWidth="1"/>
    <col min="19" max="19" width="22.85546875" bestFit="1" customWidth="1"/>
    <col min="20" max="20" width="13.140625" bestFit="1" customWidth="1"/>
    <col min="21" max="21" width="14.85546875" bestFit="1" customWidth="1"/>
    <col min="22" max="23" width="8.5703125" bestFit="1" customWidth="1"/>
    <col min="24" max="26" width="8.140625" bestFit="1" customWidth="1"/>
    <col min="27" max="27" width="11.28515625" bestFit="1" customWidth="1"/>
    <col min="28" max="28" width="7.140625" bestFit="1" customWidth="1"/>
    <col min="29" max="29" width="13.140625" bestFit="1" customWidth="1"/>
    <col min="30" max="30" width="10.42578125" bestFit="1" customWidth="1"/>
    <col min="31" max="31" width="14.85546875" bestFit="1" customWidth="1"/>
    <col min="32" max="32" width="7.85546875" bestFit="1" customWidth="1"/>
    <col min="33" max="33" width="7" bestFit="1" customWidth="1"/>
    <col min="34" max="35" width="7.140625" bestFit="1" customWidth="1"/>
    <col min="36" max="36" width="6.85546875" bestFit="1" customWidth="1"/>
    <col min="37" max="38" width="7.85546875" bestFit="1" customWidth="1"/>
    <col min="39" max="39" width="9.5703125" bestFit="1" customWidth="1"/>
    <col min="40" max="41" width="7.140625" bestFit="1" customWidth="1"/>
    <col min="42" max="42" width="6.85546875" bestFit="1" customWidth="1"/>
    <col min="43" max="44" width="7.85546875" bestFit="1" customWidth="1"/>
    <col min="45" max="45" width="6.85546875" bestFit="1" customWidth="1"/>
    <col min="46" max="47" width="7.140625" bestFit="1" customWidth="1"/>
    <col min="48" max="48" width="7.85546875" bestFit="1" customWidth="1"/>
    <col min="49" max="49" width="6.85546875" bestFit="1" customWidth="1"/>
    <col min="50" max="50" width="7.85546875" bestFit="1" customWidth="1"/>
    <col min="51" max="51" width="6.85546875" bestFit="1" customWidth="1"/>
    <col min="52" max="52" width="8.140625" bestFit="1" customWidth="1"/>
    <col min="53" max="53" width="7.140625" bestFit="1" customWidth="1"/>
    <col min="54" max="56" width="7.85546875" bestFit="1" customWidth="1"/>
    <col min="57" max="57" width="11.28515625" bestFit="1" customWidth="1"/>
    <col min="58" max="58" width="19.85546875" bestFit="1" customWidth="1"/>
  </cols>
  <sheetData>
    <row r="2" spans="2:31" ht="18.75" x14ac:dyDescent="0.3">
      <c r="B2" s="10" t="s">
        <v>1416</v>
      </c>
      <c r="H2" s="10" t="s">
        <v>1414</v>
      </c>
      <c r="K2" s="10" t="s">
        <v>1417</v>
      </c>
      <c r="N2" s="10" t="s">
        <v>1418</v>
      </c>
      <c r="Q2" s="10" t="s">
        <v>1419</v>
      </c>
      <c r="T2" s="10" t="s">
        <v>1420</v>
      </c>
      <c r="AC2" s="10" t="s">
        <v>1420</v>
      </c>
    </row>
    <row r="3" spans="2:31" x14ac:dyDescent="0.25">
      <c r="B3" t="s">
        <v>1406</v>
      </c>
      <c r="C3" t="s">
        <v>1407</v>
      </c>
      <c r="D3" t="s">
        <v>1408</v>
      </c>
      <c r="E3" t="s">
        <v>1409</v>
      </c>
      <c r="F3" t="s">
        <v>1415</v>
      </c>
      <c r="H3" s="4" t="s">
        <v>1410</v>
      </c>
      <c r="I3" t="s">
        <v>1406</v>
      </c>
      <c r="K3" s="4" t="s">
        <v>1410</v>
      </c>
      <c r="L3" t="s">
        <v>1406</v>
      </c>
      <c r="N3" s="4" t="s">
        <v>1410</v>
      </c>
      <c r="O3" t="s">
        <v>1406</v>
      </c>
      <c r="Q3" s="4" t="s">
        <v>1410</v>
      </c>
      <c r="R3" t="s">
        <v>1413</v>
      </c>
      <c r="T3" s="4" t="s">
        <v>1410</v>
      </c>
      <c r="U3" t="s">
        <v>1415</v>
      </c>
      <c r="AC3" s="4" t="s">
        <v>1410</v>
      </c>
      <c r="AD3" t="s">
        <v>1406</v>
      </c>
      <c r="AE3" t="s">
        <v>1415</v>
      </c>
    </row>
    <row r="4" spans="2:31" x14ac:dyDescent="0.25">
      <c r="B4" s="3">
        <v>6182639</v>
      </c>
      <c r="C4" s="3">
        <v>1610697</v>
      </c>
      <c r="D4" s="2">
        <v>0.26051933486655132</v>
      </c>
      <c r="E4" s="3">
        <v>12745</v>
      </c>
      <c r="F4" s="6">
        <v>4.2107441937843083E-2</v>
      </c>
      <c r="H4" s="5" t="s">
        <v>83</v>
      </c>
      <c r="I4" s="11">
        <v>884768</v>
      </c>
      <c r="J4" s="3"/>
      <c r="K4" s="5">
        <v>2020</v>
      </c>
      <c r="L4" s="11">
        <v>859401</v>
      </c>
      <c r="N4" s="5" t="s">
        <v>19</v>
      </c>
      <c r="O4" s="12">
        <v>370881</v>
      </c>
      <c r="Q4" s="5" t="s">
        <v>14</v>
      </c>
      <c r="R4" s="6">
        <v>0.33409180070615935</v>
      </c>
      <c r="T4" s="5" t="s">
        <v>38</v>
      </c>
      <c r="U4" s="6">
        <v>4.6672896656037147E-2</v>
      </c>
      <c r="AC4" s="5">
        <v>2020</v>
      </c>
      <c r="AD4" s="3">
        <v>859401</v>
      </c>
      <c r="AE4" s="6">
        <v>0</v>
      </c>
    </row>
    <row r="5" spans="2:31" x14ac:dyDescent="0.25">
      <c r="B5" s="3">
        <f>GETPIVOTDATA("[Measures].[Total Sales]",$B$3)</f>
        <v>6182639</v>
      </c>
      <c r="C5" s="3">
        <f>GETPIVOTDATA("[Measures].[Total Profit]",$B$3)</f>
        <v>1610697</v>
      </c>
      <c r="D5" s="2">
        <f>GETPIVOTDATA("[Measures].[The Profit Margin %]",$B$3)</f>
        <v>0.26051933486655132</v>
      </c>
      <c r="E5" s="3">
        <f>GETPIVOTDATA("[Measures].[Total Units]",$B$3)</f>
        <v>12745</v>
      </c>
      <c r="F5" s="6">
        <f>GETPIVOTDATA("[Measures].[Sales Growth %]",$B$3)</f>
        <v>4.2107441937843083E-2</v>
      </c>
      <c r="H5" s="5" t="s">
        <v>21</v>
      </c>
      <c r="I5" s="11">
        <v>978738</v>
      </c>
      <c r="J5" s="3"/>
      <c r="K5" s="5">
        <v>2021</v>
      </c>
      <c r="L5" s="11">
        <v>1181446</v>
      </c>
      <c r="N5" s="5" t="s">
        <v>60</v>
      </c>
      <c r="O5" s="12">
        <v>407291</v>
      </c>
      <c r="Q5" s="5" t="s">
        <v>40</v>
      </c>
      <c r="R5" s="6">
        <v>0.34845037269517465</v>
      </c>
      <c r="T5" s="5" t="s">
        <v>18</v>
      </c>
      <c r="U5" s="6">
        <v>3.0171372033655081E-2</v>
      </c>
      <c r="AC5" s="5">
        <v>2021</v>
      </c>
      <c r="AD5" s="3">
        <v>1181446</v>
      </c>
      <c r="AE5" s="6">
        <v>0.37473193538290039</v>
      </c>
    </row>
    <row r="6" spans="2:31" x14ac:dyDescent="0.25">
      <c r="H6" s="5" t="s">
        <v>63</v>
      </c>
      <c r="I6" s="11">
        <v>1011475</v>
      </c>
      <c r="J6" s="3"/>
      <c r="K6" s="5">
        <v>2022</v>
      </c>
      <c r="L6" s="11">
        <v>1459775</v>
      </c>
      <c r="N6" s="5" t="s">
        <v>25</v>
      </c>
      <c r="O6" s="12">
        <v>418514</v>
      </c>
      <c r="Q6" s="5" t="s">
        <v>28</v>
      </c>
      <c r="R6" s="6">
        <v>0.3174578265986665</v>
      </c>
      <c r="T6" s="5" t="s">
        <v>21</v>
      </c>
      <c r="U6" s="6">
        <v>4.1477655441448283E-2</v>
      </c>
      <c r="AC6" s="5">
        <v>2022</v>
      </c>
      <c r="AD6" s="3">
        <v>1459775</v>
      </c>
      <c r="AE6" s="6">
        <v>0.23558334447786863</v>
      </c>
    </row>
    <row r="7" spans="2:31" x14ac:dyDescent="0.25">
      <c r="H7" s="5" t="s">
        <v>38</v>
      </c>
      <c r="I7" s="11">
        <v>1086436</v>
      </c>
      <c r="J7" s="3"/>
      <c r="K7" s="5">
        <v>2023</v>
      </c>
      <c r="L7" s="11">
        <v>1229723</v>
      </c>
      <c r="N7" s="5" t="s">
        <v>79</v>
      </c>
      <c r="O7" s="12">
        <v>440000</v>
      </c>
      <c r="Q7" s="5" t="s">
        <v>1411</v>
      </c>
      <c r="R7" s="6">
        <v>1.0000000000000069</v>
      </c>
      <c r="T7" s="5" t="s">
        <v>24</v>
      </c>
      <c r="U7" s="6">
        <v>4.9938725205542329E-2</v>
      </c>
      <c r="AC7" s="5">
        <v>2023</v>
      </c>
      <c r="AD7" s="3">
        <v>1229723</v>
      </c>
      <c r="AE7" s="6">
        <v>-0.15759414978335703</v>
      </c>
    </row>
    <row r="8" spans="2:31" x14ac:dyDescent="0.25">
      <c r="H8" s="5" t="s">
        <v>18</v>
      </c>
      <c r="I8" s="11">
        <v>1091174</v>
      </c>
      <c r="J8" s="3"/>
      <c r="K8" s="5">
        <v>2024</v>
      </c>
      <c r="L8" s="11">
        <v>1202478</v>
      </c>
      <c r="N8" s="5" t="s">
        <v>32</v>
      </c>
      <c r="O8" s="12">
        <v>452158</v>
      </c>
      <c r="T8" s="5" t="s">
        <v>83</v>
      </c>
      <c r="U8" s="6">
        <v>6.5559318441298184E-2</v>
      </c>
      <c r="AC8" s="5">
        <v>2024</v>
      </c>
      <c r="AD8" s="3">
        <v>1202478</v>
      </c>
      <c r="AE8" s="6">
        <v>-2.2155395971287843E-2</v>
      </c>
    </row>
    <row r="9" spans="2:31" x14ac:dyDescent="0.25">
      <c r="H9" s="5" t="s">
        <v>24</v>
      </c>
      <c r="I9" s="11">
        <v>1130048</v>
      </c>
      <c r="J9" s="3"/>
      <c r="K9" s="5">
        <v>2025</v>
      </c>
      <c r="L9" s="11">
        <v>249816</v>
      </c>
      <c r="N9" s="5" t="s">
        <v>1411</v>
      </c>
      <c r="O9" s="12">
        <v>2088844</v>
      </c>
      <c r="T9" s="5" t="s">
        <v>63</v>
      </c>
      <c r="U9" s="6">
        <v>2.2490287871236834E-2</v>
      </c>
      <c r="AC9" s="5">
        <v>2025</v>
      </c>
      <c r="AD9" s="3">
        <v>249816</v>
      </c>
      <c r="AE9" s="6">
        <v>-0.79224900580301683</v>
      </c>
    </row>
    <row r="10" spans="2:31" x14ac:dyDescent="0.25">
      <c r="H10" s="5" t="s">
        <v>1411</v>
      </c>
      <c r="I10" s="11">
        <v>6182639</v>
      </c>
      <c r="J10" s="3"/>
      <c r="K10" s="5" t="s">
        <v>1411</v>
      </c>
      <c r="L10" s="11">
        <v>6182639</v>
      </c>
      <c r="T10" s="5" t="s">
        <v>1411</v>
      </c>
      <c r="U10" s="6">
        <v>4.2107441937843083E-2</v>
      </c>
      <c r="AC10" s="5" t="s">
        <v>1411</v>
      </c>
      <c r="AD10" s="3">
        <v>6182639</v>
      </c>
      <c r="AE10" s="6">
        <v>4.2107441937843083E-2</v>
      </c>
    </row>
    <row r="13" spans="2:31" x14ac:dyDescent="0.25">
      <c r="T13" t="str">
        <f>T3</f>
        <v>Row Labels</v>
      </c>
      <c r="U13" t="str">
        <f>U3</f>
        <v>Sales Growth %</v>
      </c>
    </row>
    <row r="14" spans="2:31" x14ac:dyDescent="0.25">
      <c r="T14" t="str">
        <f t="shared" ref="T14:U21" si="0">T4</f>
        <v>California</v>
      </c>
      <c r="U14" s="13">
        <f t="shared" si="0"/>
        <v>4.6672896656037147E-2</v>
      </c>
    </row>
    <row r="15" spans="2:31" x14ac:dyDescent="0.25">
      <c r="T15" t="str">
        <f t="shared" si="0"/>
        <v>Florida</v>
      </c>
      <c r="U15" s="13">
        <f t="shared" si="0"/>
        <v>3.0171372033655081E-2</v>
      </c>
      <c r="V15" s="6"/>
      <c r="W15" s="6"/>
      <c r="X15" s="6"/>
      <c r="Y15" s="6"/>
      <c r="Z15" s="6"/>
      <c r="AA15" s="6"/>
    </row>
    <row r="16" spans="2:31" x14ac:dyDescent="0.25">
      <c r="T16" t="str">
        <f t="shared" si="0"/>
        <v>Illinois</v>
      </c>
      <c r="U16" s="13">
        <f t="shared" si="0"/>
        <v>4.1477655441448283E-2</v>
      </c>
      <c r="V16" s="6"/>
      <c r="W16" s="6"/>
      <c r="X16" s="6"/>
      <c r="Y16" s="6"/>
      <c r="Z16" s="6"/>
      <c r="AA16" s="6"/>
    </row>
    <row r="17" spans="20:27" x14ac:dyDescent="0.25">
      <c r="T17" t="str">
        <f t="shared" si="0"/>
        <v>New York</v>
      </c>
      <c r="U17" s="13">
        <f t="shared" si="0"/>
        <v>4.9938725205542329E-2</v>
      </c>
      <c r="V17" s="6"/>
      <c r="W17" s="6"/>
      <c r="X17" s="6"/>
      <c r="Y17" s="6"/>
      <c r="Z17" s="6"/>
      <c r="AA17" s="6"/>
    </row>
    <row r="18" spans="20:27" x14ac:dyDescent="0.25">
      <c r="T18" t="str">
        <f t="shared" si="0"/>
        <v>Ohio</v>
      </c>
      <c r="U18" s="13">
        <f t="shared" si="0"/>
        <v>6.5559318441298184E-2</v>
      </c>
      <c r="V18" s="6"/>
      <c r="W18" s="6"/>
      <c r="X18" s="6"/>
      <c r="Y18" s="6"/>
      <c r="Z18" s="6"/>
      <c r="AA18" s="6"/>
    </row>
    <row r="19" spans="20:27" x14ac:dyDescent="0.25">
      <c r="T19" t="str">
        <f t="shared" si="0"/>
        <v>Texas</v>
      </c>
      <c r="U19" s="13">
        <f t="shared" si="0"/>
        <v>2.2490287871236834E-2</v>
      </c>
      <c r="V19" s="6"/>
      <c r="W19" s="6"/>
      <c r="X19" s="6"/>
      <c r="Y19" s="6"/>
      <c r="Z19" s="6"/>
      <c r="AA19" s="6"/>
    </row>
    <row r="20" spans="20:27" x14ac:dyDescent="0.25">
      <c r="T20" t="str">
        <f t="shared" si="0"/>
        <v>Grand Total</v>
      </c>
      <c r="U20" s="13">
        <f t="shared" si="0"/>
        <v>4.2107441937843083E-2</v>
      </c>
      <c r="V20" s="6"/>
      <c r="W20" s="6"/>
      <c r="X20" s="6"/>
      <c r="Y20" s="6"/>
      <c r="Z20" s="6"/>
      <c r="AA20" s="6"/>
    </row>
    <row r="21" spans="20:27" x14ac:dyDescent="0.25">
      <c r="V21" s="6"/>
      <c r="W21" s="6"/>
      <c r="X21" s="6"/>
      <c r="Y21" s="6"/>
      <c r="Z21" s="6"/>
      <c r="AA21" s="6"/>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1A09-645D-4816-A58D-2EB5FD44D9BB}">
  <sheetPr>
    <pageSetUpPr fitToPage="1"/>
  </sheetPr>
  <dimension ref="C14:AH21"/>
  <sheetViews>
    <sheetView showRowColHeaders="0" tabSelected="1" zoomScale="70" zoomScaleNormal="70" workbookViewId="0">
      <selection activeCell="AU45" sqref="AU45"/>
    </sheetView>
  </sheetViews>
  <sheetFormatPr defaultRowHeight="15" x14ac:dyDescent="0.25"/>
  <cols>
    <col min="1" max="16384" width="9.140625" style="8"/>
  </cols>
  <sheetData>
    <row r="14" spans="3:34" x14ac:dyDescent="0.25">
      <c r="AH14" s="7"/>
    </row>
    <row r="15" spans="3:34" x14ac:dyDescent="0.25">
      <c r="C15" s="8" t="e" vm="1">
        <v>#VALUE!</v>
      </c>
    </row>
    <row r="21" spans="13:13" x14ac:dyDescent="0.25">
      <c r="M21" s="9"/>
    </row>
  </sheetData>
  <pageMargins left="0.7" right="0.7" top="0.75" bottom="0.75" header="0.3" footer="0.3"/>
  <pageSetup paperSize="8" scale="61"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3732E96C-29DA-47AE-B496-17C5B2B8F123}">
  <ds:schemaRefs/>
</ds:datastoreItem>
</file>

<file path=customXml/itemProps2.xml><?xml version="1.0" encoding="utf-8"?>
<ds:datastoreItem xmlns:ds="http://schemas.openxmlformats.org/officeDocument/2006/customXml" ds:itemID="{C26C4FDC-1DE8-49D6-8397-4E926014A610}">
  <ds:schemaRefs/>
</ds:datastoreItem>
</file>

<file path=customXml/itemProps3.xml><?xml version="1.0" encoding="utf-8"?>
<ds:datastoreItem xmlns:ds="http://schemas.openxmlformats.org/officeDocument/2006/customXml" ds:itemID="{B188CB74-CD43-4E5E-AC57-FF4664908D74}">
  <ds:schemaRefs/>
</ds:datastoreItem>
</file>

<file path=customXml/itemProps4.xml><?xml version="1.0" encoding="utf-8"?>
<ds:datastoreItem xmlns:ds="http://schemas.openxmlformats.org/officeDocument/2006/customXml" ds:itemID="{9E675948-DD07-488F-9D18-108B6E100736}">
  <ds:schemaRefs/>
</ds:datastoreItem>
</file>

<file path=customXml/itemProps5.xml><?xml version="1.0" encoding="utf-8"?>
<ds:datastoreItem xmlns:ds="http://schemas.openxmlformats.org/officeDocument/2006/customXml" ds:itemID="{3A74420D-A5FB-4F1F-9A79-30AB299E0A4E}">
  <ds:schemaRefs/>
</ds:datastoreItem>
</file>

<file path=customXml/itemProps6.xml><?xml version="1.0" encoding="utf-8"?>
<ds:datastoreItem xmlns:ds="http://schemas.openxmlformats.org/officeDocument/2006/customXml" ds:itemID="{AF316545-AB3C-4C90-AA74-80532255ECDA}">
  <ds:schemaRefs/>
</ds:datastoreItem>
</file>

<file path=customXml/itemProps7.xml><?xml version="1.0" encoding="utf-8"?>
<ds:datastoreItem xmlns:ds="http://schemas.openxmlformats.org/officeDocument/2006/customXml" ds:itemID="{CBDAB3CB-8D9A-4BA0-A8EB-A89978569FEC}">
  <ds:schemaRefs/>
</ds:datastoreItem>
</file>

<file path=customXml/itemProps8.xml><?xml version="1.0" encoding="utf-8"?>
<ds:datastoreItem xmlns:ds="http://schemas.openxmlformats.org/officeDocument/2006/customXml" ds:itemID="{5F3E5331-8A4F-42A9-A91C-55205765604C}">
  <ds:schemaRefs/>
</ds:datastoreItem>
</file>

<file path=customXml/itemProps9.xml><?xml version="1.0" encoding="utf-8"?>
<ds:datastoreItem xmlns:ds="http://schemas.openxmlformats.org/officeDocument/2006/customXml" ds:itemID="{E65303B2-59BE-4C1E-ADA3-FFD2CDAFE1C5}">
  <ds:schemaRefs/>
</ds:datastoreItem>
</file>

<file path=customXml/itemProps10.xml><?xml version="1.0" encoding="utf-8"?>
<ds:datastoreItem xmlns:ds="http://schemas.openxmlformats.org/officeDocument/2006/customXml" ds:itemID="{71F2C331-A16A-419E-BB86-93EA32E2EF7E}">
  <ds:schemaRefs/>
</ds:datastoreItem>
</file>

<file path=customXml/itemProps11.xml><?xml version="1.0" encoding="utf-8"?>
<ds:datastoreItem xmlns:ds="http://schemas.openxmlformats.org/officeDocument/2006/customXml" ds:itemID="{9604DD48-09E9-4515-A8B1-CFCDF4D7FE72}">
  <ds:schemaRefs/>
</ds:datastoreItem>
</file>

<file path=customXml/itemProps12.xml><?xml version="1.0" encoding="utf-8"?>
<ds:datastoreItem xmlns:ds="http://schemas.openxmlformats.org/officeDocument/2006/customXml" ds:itemID="{030D9137-E854-4694-B1B5-A31B6828691B}">
  <ds:schemaRefs/>
</ds:datastoreItem>
</file>

<file path=customXml/itemProps13.xml><?xml version="1.0" encoding="utf-8"?>
<ds:datastoreItem xmlns:ds="http://schemas.openxmlformats.org/officeDocument/2006/customXml" ds:itemID="{4F460055-DAFF-47C5-BD41-6051C0EEE8D8}">
  <ds:schemaRefs/>
</ds:datastoreItem>
</file>

<file path=customXml/itemProps14.xml><?xml version="1.0" encoding="utf-8"?>
<ds:datastoreItem xmlns:ds="http://schemas.openxmlformats.org/officeDocument/2006/customXml" ds:itemID="{1DA07843-D7C3-4450-88F6-3F4E88ACFFAD}">
  <ds:schemaRefs/>
</ds:datastoreItem>
</file>

<file path=customXml/itemProps15.xml><?xml version="1.0" encoding="utf-8"?>
<ds:datastoreItem xmlns:ds="http://schemas.openxmlformats.org/officeDocument/2006/customXml" ds:itemID="{B0538D44-853A-47F5-B3C4-D47FDA24C137}">
  <ds:schemaRefs/>
</ds:datastoreItem>
</file>

<file path=customXml/itemProps16.xml><?xml version="1.0" encoding="utf-8"?>
<ds:datastoreItem xmlns:ds="http://schemas.openxmlformats.org/officeDocument/2006/customXml" ds:itemID="{40C77466-8E10-407F-90A3-9ED9FBFDCA72}">
  <ds:schemaRefs/>
</ds:datastoreItem>
</file>

<file path=customXml/itemProps17.xml><?xml version="1.0" encoding="utf-8"?>
<ds:datastoreItem xmlns:ds="http://schemas.openxmlformats.org/officeDocument/2006/customXml" ds:itemID="{D5B36423-9513-4755-8ACA-E73A3AE87E17}">
  <ds:schemaRefs/>
</ds:datastoreItem>
</file>

<file path=customXml/itemProps18.xml><?xml version="1.0" encoding="utf-8"?>
<ds:datastoreItem xmlns:ds="http://schemas.openxmlformats.org/officeDocument/2006/customXml" ds:itemID="{3C14F173-6A5A-47E9-AAD9-651C788DE232}">
  <ds:schemaRefs/>
</ds:datastoreItem>
</file>

<file path=customXml/itemProps19.xml><?xml version="1.0" encoding="utf-8"?>
<ds:datastoreItem xmlns:ds="http://schemas.openxmlformats.org/officeDocument/2006/customXml" ds:itemID="{907585A6-93B8-48F7-B84D-291A14A513C5}">
  <ds:schemaRefs/>
</ds:datastoreItem>
</file>

<file path=customXml/itemProps20.xml><?xml version="1.0" encoding="utf-8"?>
<ds:datastoreItem xmlns:ds="http://schemas.openxmlformats.org/officeDocument/2006/customXml" ds:itemID="{8E8DD547-F79A-4531-9488-B8C1AFA01910}">
  <ds:schemaRefs/>
</ds:datastoreItem>
</file>

<file path=customXml/itemProps21.xml><?xml version="1.0" encoding="utf-8"?>
<ds:datastoreItem xmlns:ds="http://schemas.openxmlformats.org/officeDocument/2006/customXml" ds:itemID="{E11CEB1D-25DD-40C9-A8A3-A15423B7FEB5}">
  <ds:schemaRefs/>
</ds:datastoreItem>
</file>

<file path=customXml/itemProps22.xml><?xml version="1.0" encoding="utf-8"?>
<ds:datastoreItem xmlns:ds="http://schemas.openxmlformats.org/officeDocument/2006/customXml" ds:itemID="{89914B2E-E4F6-4EAB-9F92-5B0659483AE4}">
  <ds:schemaRefs/>
</ds:datastoreItem>
</file>

<file path=customXml/itemProps23.xml><?xml version="1.0" encoding="utf-8"?>
<ds:datastoreItem xmlns:ds="http://schemas.openxmlformats.org/officeDocument/2006/customXml" ds:itemID="{92AC1474-9D72-4259-87D6-EEB9F0A53BCA}">
  <ds:schemaRefs/>
</ds:datastoreItem>
</file>

<file path=customXml/itemProps24.xml><?xml version="1.0" encoding="utf-8"?>
<ds:datastoreItem xmlns:ds="http://schemas.openxmlformats.org/officeDocument/2006/customXml" ds:itemID="{735CBA42-F753-4C2A-9EA3-B145C280AB41}">
  <ds:schemaRefs/>
</ds:datastoreItem>
</file>

<file path=customXml/itemProps25.xml><?xml version="1.0" encoding="utf-8"?>
<ds:datastoreItem xmlns:ds="http://schemas.openxmlformats.org/officeDocument/2006/customXml" ds:itemID="{7AC6A59C-F249-40E2-9635-85045B0ED1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Sales</vt:lpstr>
      <vt:lpstr>Tables</vt:lpstr>
      <vt:lpstr>WireFrames(Sales)</vt:lpstr>
      <vt:lpstr>TotalSales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Moamen Soliman</dc:creator>
  <cp:lastModifiedBy>مومن بالله محمد دسوقى سليمان</cp:lastModifiedBy>
  <cp:lastPrinted>2026-02-27T08:14:33Z</cp:lastPrinted>
  <dcterms:created xsi:type="dcterms:W3CDTF">2015-06-05T18:17:20Z</dcterms:created>
  <dcterms:modified xsi:type="dcterms:W3CDTF">2026-03-13T14:20:37Z</dcterms:modified>
</cp:coreProperties>
</file>